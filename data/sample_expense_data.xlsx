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\Expense-Tracker-Excel\data\"/>
    </mc:Choice>
  </mc:AlternateContent>
  <xr:revisionPtr revIDLastSave="0" documentId="13_ncr:1_{9FF64336-A246-49A7-B813-C8755AB8AF8C}" xr6:coauthVersionLast="47" xr6:coauthVersionMax="47" xr10:uidLastSave="{00000000-0000-0000-0000-000000000000}"/>
  <bookViews>
    <workbookView xWindow="-108" yWindow="-108" windowWidth="23256" windowHeight="12456" activeTab="2" xr2:uid="{0AC19689-AF50-4B30-BC68-0D34123B6285}"/>
  </bookViews>
  <sheets>
    <sheet name="tblExpense" sheetId="1" r:id="rId1"/>
    <sheet name="Category_List" sheetId="2" r:id="rId2"/>
    <sheet name="Payment_mode_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  <c r="A2" i="3" a="1"/>
  <c r="A2" i="3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<sst xmlns="http://schemas.openxmlformats.org/spreadsheetml/2006/main" count="395" uniqueCount="98">
  <si>
    <t>Date</t>
  </si>
  <si>
    <t>Description</t>
  </si>
  <si>
    <t>Category</t>
  </si>
  <si>
    <t>Amount</t>
  </si>
  <si>
    <t>Payment_Mode</t>
  </si>
  <si>
    <t>Milk &amp; Bread</t>
  </si>
  <si>
    <t>Food</t>
  </si>
  <si>
    <t>UPI</t>
  </si>
  <si>
    <t>Bus Ticket</t>
  </si>
  <si>
    <t>Travel</t>
  </si>
  <si>
    <t>Cash</t>
  </si>
  <si>
    <t>Lunch</t>
  </si>
  <si>
    <t>Mobile Recharge</t>
  </si>
  <si>
    <t>Utilities</t>
  </si>
  <si>
    <t>Card</t>
  </si>
  <si>
    <t>Movie Ticket</t>
  </si>
  <si>
    <t>Entertainment</t>
  </si>
  <si>
    <t>Vegetables</t>
  </si>
  <si>
    <t>Office Cab</t>
  </si>
  <si>
    <t>Electricity Bill</t>
  </si>
  <si>
    <t>NetBanking</t>
  </si>
  <si>
    <t>Grocery Shopping</t>
  </si>
  <si>
    <t>Clothes</t>
  </si>
  <si>
    <t>Shopping</t>
  </si>
  <si>
    <t>Coffee</t>
  </si>
  <si>
    <t>Internet Bill</t>
  </si>
  <si>
    <t>Restaurant</t>
  </si>
  <si>
    <t>Petrol</t>
  </si>
  <si>
    <t>Stationery</t>
  </si>
  <si>
    <t>Groceries</t>
  </si>
  <si>
    <t>OTT Subscription</t>
  </si>
  <si>
    <t>Water Bill</t>
  </si>
  <si>
    <t>Snacks</t>
  </si>
  <si>
    <t>Metro Card</t>
  </si>
  <si>
    <t>Shoes</t>
  </si>
  <si>
    <t>Cinema</t>
  </si>
  <si>
    <t>Fuel</t>
  </si>
  <si>
    <t>Dinner Out</t>
  </si>
  <si>
    <t>Grocery</t>
  </si>
  <si>
    <t>Categories</t>
  </si>
  <si>
    <t>Electricity</t>
  </si>
  <si>
    <t>Movie</t>
  </si>
  <si>
    <t>Rent</t>
  </si>
  <si>
    <t>Housing</t>
  </si>
  <si>
    <t>Bus Pass</t>
  </si>
  <si>
    <t>Medicine</t>
  </si>
  <si>
    <t>Healthcare</t>
  </si>
  <si>
    <t>Spotify</t>
  </si>
  <si>
    <t>Lunch Out</t>
  </si>
  <si>
    <t>Gas Cylinder</t>
  </si>
  <si>
    <t>Amazon Prime</t>
  </si>
  <si>
    <t>Office Lunch</t>
  </si>
  <si>
    <t>Dental Checkup</t>
  </si>
  <si>
    <t>Auto Rickshaw</t>
  </si>
  <si>
    <t>Maintenance</t>
  </si>
  <si>
    <t>Concert</t>
  </si>
  <si>
    <t>Jeans</t>
  </si>
  <si>
    <t>YouTube Premium</t>
  </si>
  <si>
    <t>Breakfast Out</t>
  </si>
  <si>
    <t>Glasses</t>
  </si>
  <si>
    <t>Train Ticket</t>
  </si>
  <si>
    <t>Netflix Party</t>
  </si>
  <si>
    <t>Watch</t>
  </si>
  <si>
    <t>House Cleaning</t>
  </si>
  <si>
    <t>Ola Cab</t>
  </si>
  <si>
    <t>Physiotherapy</t>
  </si>
  <si>
    <t>Theme Park</t>
  </si>
  <si>
    <t>Sunglasses</t>
  </si>
  <si>
    <t>Grofers</t>
  </si>
  <si>
    <t>Team Dinner</t>
  </si>
  <si>
    <t>Vaccination</t>
  </si>
  <si>
    <t>Standup Comedy</t>
  </si>
  <si>
    <t>Tshirt</t>
  </si>
  <si>
    <t>Car Service</t>
  </si>
  <si>
    <t>Ola Outstation</t>
  </si>
  <si>
    <t>Pub Night</t>
  </si>
  <si>
    <t>Bag</t>
  </si>
  <si>
    <t>Zomato</t>
  </si>
  <si>
    <t>Swiggy</t>
  </si>
  <si>
    <t>Eye Test</t>
  </si>
  <si>
    <t>Gas Bill</t>
  </si>
  <si>
    <t>Wallet</t>
  </si>
  <si>
    <t>House Painting</t>
  </si>
  <si>
    <t>Office Party</t>
  </si>
  <si>
    <t>Blood Test</t>
  </si>
  <si>
    <t>Art Exhibition</t>
  </si>
  <si>
    <t>Perfume</t>
  </si>
  <si>
    <t>Dental Cleaning</t>
  </si>
  <si>
    <t>Coat</t>
  </si>
  <si>
    <t>Physio Session</t>
  </si>
  <si>
    <t>Car Insurance</t>
  </si>
  <si>
    <t>New Year Party</t>
  </si>
  <si>
    <t>Gift</t>
  </si>
  <si>
    <t>Family Dinner</t>
  </si>
  <si>
    <t>Christmas Shopping</t>
  </si>
  <si>
    <t>Year End Medical</t>
  </si>
  <si>
    <t>month</t>
  </si>
  <si>
    <t>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</si>
</sst>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0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B81958-D73B-48FD-9840-6ECBA91121C4}" name="Table1" displayName="Table1" ref="A1:F130" totalsRowShown="0" headerRowDxfId="9" headerRowBorderDxfId="8" tableBorderDxfId="7" totalsRowBorderDxfId="6">
  <autoFilter ref="A1:F130" xr:uid="{20B81958-D73B-48FD-9840-6ECBA91121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7A6C65-4620-4420-833F-1EEC70AE6C0E}" name="Date" dataDxfId="5"/>
    <tableColumn id="2" xr3:uid="{370E62BF-5A7B-4D2C-9486-CD7F568AE2AB}" name="Description" dataDxfId="4"/>
    <tableColumn id="3" xr3:uid="{E0884658-DCD9-45D4-9397-238299A26B99}" name="Category" dataDxfId="3"/>
    <tableColumn id="4" xr3:uid="{2F4FA16D-1017-49BD-94F1-39C35F2F2D05}" name="Amount" dataDxfId="2"/>
    <tableColumn id="5" xr3:uid="{563B0E7D-C8B3-4C57-AB8C-6A5F72421B04}" name="Payment_Mode" dataDxfId="1"/>
    <tableColumn id="6" xr3:uid="{AF8B565A-5B3B-41A0-879E-6391C47BCD17}" name="month" dataDxfId="0">
      <calculatedColumnFormula>TEXT(Table1[[#This Row],[Date]],"mmmm")</calculatedColumnFormula>
    </tableColumn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D259-D55D-46A7-BC77-8F69E32429AB}">
  <dimension ref="A1:F130"/>
  <sheetViews>
    <sheetView workbookViewId="0">
      <selection activeCell="J11" sqref="J11"/>
    </sheetView>
  </sheetViews>
  <sheetFormatPr defaultRowHeight="14.4" x14ac:dyDescent="0.3"/>
  <cols>
    <col min="1" max="1" width="10.33203125" bestFit="1" customWidth="1"/>
    <col min="2" max="2" width="15.33203125" bestFit="1" customWidth="1"/>
    <col min="3" max="3" width="12.6640625" bestFit="1" customWidth="1"/>
    <col min="4" max="4" width="7.88671875" bestFit="1" customWidth="1"/>
    <col min="5" max="5" width="14.6640625" bestFit="1" customWidth="1"/>
    <col min="6" max="6" width="14.6640625" customWidth="1"/>
    <col min="7" max="7" width="18.6640625" customWidth="1"/>
    <col min="8" max="8" width="21.21875" customWidth="1"/>
  </cols>
  <sheetData>
    <row r="1" spans="1:6" x14ac:dyDescent="0.3">
      <c r="A1" s="4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96</v>
      </c>
    </row>
    <row r="2" spans="1:6" x14ac:dyDescent="0.3">
      <c r="A2" s="6">
        <v>46023</v>
      </c>
      <c r="B2" s="1" t="s">
        <v>5</v>
      </c>
      <c r="C2" s="1" t="s">
        <v>6</v>
      </c>
      <c r="D2" s="1">
        <v>120</v>
      </c>
      <c r="E2" s="7" t="s">
        <v>7</v>
      </c>
      <c r="F2" s="2" t="str">
        <f>TEXT(Table1[[#This Row],[Date]],"mmmm")</f>
        <v>January</v>
      </c>
    </row>
    <row r="3" spans="1:6" x14ac:dyDescent="0.3">
      <c r="A3" s="6">
        <v>46023</v>
      </c>
      <c r="B3" s="1" t="s">
        <v>8</v>
      </c>
      <c r="C3" s="1" t="s">
        <v>9</v>
      </c>
      <c r="D3" s="1">
        <v>40</v>
      </c>
      <c r="E3" s="7" t="s">
        <v>10</v>
      </c>
      <c r="F3" s="1" t="str">
        <f>TEXT(Table1[[#This Row],[Date]],"mmmm")</f>
        <v>January</v>
      </c>
    </row>
    <row r="4" spans="1:6" x14ac:dyDescent="0.3">
      <c r="A4" s="6">
        <v>46024</v>
      </c>
      <c r="B4" s="1" t="s">
        <v>11</v>
      </c>
      <c r="C4" s="1" t="s">
        <v>6</v>
      </c>
      <c r="D4" s="1">
        <v>180</v>
      </c>
      <c r="E4" s="7" t="s">
        <v>7</v>
      </c>
      <c r="F4" s="1" t="str">
        <f>TEXT(Table1[[#This Row],[Date]],"mmmm")</f>
        <v>January</v>
      </c>
    </row>
    <row r="5" spans="1:6" x14ac:dyDescent="0.3">
      <c r="A5" s="6">
        <v>46024</v>
      </c>
      <c r="B5" s="1" t="s">
        <v>12</v>
      </c>
      <c r="C5" s="1" t="s">
        <v>13</v>
      </c>
      <c r="D5" s="1">
        <v>299</v>
      </c>
      <c r="E5" s="7" t="s">
        <v>14</v>
      </c>
      <c r="F5" s="1" t="str">
        <f>TEXT(Table1[[#This Row],[Date]],"mmmm")</f>
        <v>January</v>
      </c>
    </row>
    <row r="6" spans="1:6" x14ac:dyDescent="0.3">
      <c r="A6" s="6">
        <v>46025</v>
      </c>
      <c r="B6" s="1" t="s">
        <v>15</v>
      </c>
      <c r="C6" s="1" t="s">
        <v>16</v>
      </c>
      <c r="D6" s="1">
        <v>350</v>
      </c>
      <c r="E6" s="7" t="s">
        <v>14</v>
      </c>
      <c r="F6" s="1" t="str">
        <f>TEXT(Table1[[#This Row],[Date]],"mmmm")</f>
        <v>January</v>
      </c>
    </row>
    <row r="7" spans="1:6" x14ac:dyDescent="0.3">
      <c r="A7" s="6">
        <v>46025</v>
      </c>
      <c r="B7" s="1" t="s">
        <v>17</v>
      </c>
      <c r="C7" s="1" t="s">
        <v>6</v>
      </c>
      <c r="D7" s="1">
        <v>220</v>
      </c>
      <c r="E7" s="7" t="s">
        <v>10</v>
      </c>
      <c r="F7" s="1" t="str">
        <f>TEXT(Table1[[#This Row],[Date]],"mmmm")</f>
        <v>January</v>
      </c>
    </row>
    <row r="8" spans="1:6" x14ac:dyDescent="0.3">
      <c r="A8" s="6">
        <v>46026</v>
      </c>
      <c r="B8" s="1" t="s">
        <v>18</v>
      </c>
      <c r="C8" s="1" t="s">
        <v>9</v>
      </c>
      <c r="D8" s="1">
        <v>150</v>
      </c>
      <c r="E8" s="7" t="s">
        <v>7</v>
      </c>
      <c r="F8" s="1" t="str">
        <f>TEXT(Table1[[#This Row],[Date]],"mmmm")</f>
        <v>January</v>
      </c>
    </row>
    <row r="9" spans="1:6" x14ac:dyDescent="0.3">
      <c r="A9" s="6">
        <v>46026</v>
      </c>
      <c r="B9" s="1" t="s">
        <v>19</v>
      </c>
      <c r="C9" s="1" t="s">
        <v>13</v>
      </c>
      <c r="D9" s="1">
        <v>950</v>
      </c>
      <c r="E9" s="7" t="s">
        <v>20</v>
      </c>
      <c r="F9" s="1" t="str">
        <f>TEXT(Table1[[#This Row],[Date]],"mmmm")</f>
        <v>January</v>
      </c>
    </row>
    <row r="10" spans="1:6" x14ac:dyDescent="0.3">
      <c r="A10" s="6">
        <v>46027</v>
      </c>
      <c r="B10" s="1" t="s">
        <v>21</v>
      </c>
      <c r="C10" s="1" t="s">
        <v>6</v>
      </c>
      <c r="D10" s="1">
        <v>600</v>
      </c>
      <c r="E10" s="7" t="s">
        <v>7</v>
      </c>
      <c r="F10" s="1" t="str">
        <f>TEXT(Table1[[#This Row],[Date]],"mmmm")</f>
        <v>January</v>
      </c>
    </row>
    <row r="11" spans="1:6" x14ac:dyDescent="0.3">
      <c r="A11" s="6">
        <v>46027</v>
      </c>
      <c r="B11" s="1" t="s">
        <v>22</v>
      </c>
      <c r="C11" s="1" t="s">
        <v>23</v>
      </c>
      <c r="D11" s="1">
        <v>1200</v>
      </c>
      <c r="E11" s="7" t="s">
        <v>14</v>
      </c>
      <c r="F11" s="1" t="str">
        <f>TEXT(Table1[[#This Row],[Date]],"mmmm")</f>
        <v>January</v>
      </c>
    </row>
    <row r="12" spans="1:6" x14ac:dyDescent="0.3">
      <c r="A12" s="6">
        <v>46028</v>
      </c>
      <c r="B12" s="1" t="s">
        <v>24</v>
      </c>
      <c r="C12" s="1" t="s">
        <v>6</v>
      </c>
      <c r="D12" s="1">
        <v>90</v>
      </c>
      <c r="E12" s="7" t="s">
        <v>10</v>
      </c>
      <c r="F12" s="1" t="str">
        <f>TEXT(Table1[[#This Row],[Date]],"mmmm")</f>
        <v>January</v>
      </c>
    </row>
    <row r="13" spans="1:6" x14ac:dyDescent="0.3">
      <c r="A13" s="6">
        <v>46028</v>
      </c>
      <c r="B13" s="1" t="s">
        <v>25</v>
      </c>
      <c r="C13" s="1" t="s">
        <v>13</v>
      </c>
      <c r="D13" s="1">
        <v>999</v>
      </c>
      <c r="E13" s="7" t="s">
        <v>20</v>
      </c>
      <c r="F13" s="1" t="str">
        <f>TEXT(Table1[[#This Row],[Date]],"mmmm")</f>
        <v>January</v>
      </c>
    </row>
    <row r="14" spans="1:6" x14ac:dyDescent="0.3">
      <c r="A14" s="6">
        <v>46029</v>
      </c>
      <c r="B14" s="1" t="s">
        <v>26</v>
      </c>
      <c r="C14" s="1" t="s">
        <v>16</v>
      </c>
      <c r="D14" s="1">
        <v>800</v>
      </c>
      <c r="E14" s="7" t="s">
        <v>7</v>
      </c>
      <c r="F14" s="1" t="str">
        <f>TEXT(Table1[[#This Row],[Date]],"mmmm")</f>
        <v>January</v>
      </c>
    </row>
    <row r="15" spans="1:6" x14ac:dyDescent="0.3">
      <c r="A15" s="6">
        <v>46029</v>
      </c>
      <c r="B15" s="1" t="s">
        <v>27</v>
      </c>
      <c r="C15" s="1" t="s">
        <v>9</v>
      </c>
      <c r="D15" s="1">
        <v>500</v>
      </c>
      <c r="E15" s="7" t="s">
        <v>14</v>
      </c>
      <c r="F15" s="1" t="str">
        <f>TEXT(Table1[[#This Row],[Date]],"mmmm")</f>
        <v>January</v>
      </c>
    </row>
    <row r="16" spans="1:6" x14ac:dyDescent="0.3">
      <c r="A16" s="6">
        <v>46030</v>
      </c>
      <c r="B16" s="1" t="s">
        <v>28</v>
      </c>
      <c r="C16" s="1" t="s">
        <v>23</v>
      </c>
      <c r="D16" s="1">
        <v>300</v>
      </c>
      <c r="E16" s="7" t="s">
        <v>10</v>
      </c>
      <c r="F16" s="1" t="str">
        <f>TEXT(Table1[[#This Row],[Date]],"mmmm")</f>
        <v>January</v>
      </c>
    </row>
    <row r="17" spans="1:6" x14ac:dyDescent="0.3">
      <c r="A17" s="6">
        <v>46030</v>
      </c>
      <c r="B17" s="1" t="s">
        <v>8</v>
      </c>
      <c r="C17" s="1" t="s">
        <v>9</v>
      </c>
      <c r="D17" s="1">
        <v>40</v>
      </c>
      <c r="E17" s="7" t="s">
        <v>10</v>
      </c>
      <c r="F17" s="1" t="str">
        <f>TEXT(Table1[[#This Row],[Date]],"mmmm")</f>
        <v>January</v>
      </c>
    </row>
    <row r="18" spans="1:6" x14ac:dyDescent="0.3">
      <c r="A18" s="6">
        <v>46031</v>
      </c>
      <c r="B18" s="1" t="s">
        <v>29</v>
      </c>
      <c r="C18" s="1" t="s">
        <v>6</v>
      </c>
      <c r="D18" s="1">
        <v>550</v>
      </c>
      <c r="E18" s="7" t="s">
        <v>7</v>
      </c>
      <c r="F18" s="1" t="str">
        <f>TEXT(Table1[[#This Row],[Date]],"mmmm")</f>
        <v>January</v>
      </c>
    </row>
    <row r="19" spans="1:6" x14ac:dyDescent="0.3">
      <c r="A19" s="6">
        <v>46031</v>
      </c>
      <c r="B19" s="1" t="s">
        <v>30</v>
      </c>
      <c r="C19" s="1" t="s">
        <v>16</v>
      </c>
      <c r="D19" s="1">
        <v>199</v>
      </c>
      <c r="E19" s="7" t="s">
        <v>14</v>
      </c>
      <c r="F19" s="1" t="str">
        <f>TEXT(Table1[[#This Row],[Date]],"mmmm")</f>
        <v>January</v>
      </c>
    </row>
    <row r="20" spans="1:6" x14ac:dyDescent="0.3">
      <c r="A20" s="6">
        <v>46032</v>
      </c>
      <c r="B20" s="1" t="s">
        <v>31</v>
      </c>
      <c r="C20" s="1" t="s">
        <v>13</v>
      </c>
      <c r="D20" s="1">
        <v>450</v>
      </c>
      <c r="E20" s="7" t="s">
        <v>20</v>
      </c>
      <c r="F20" s="1" t="str">
        <f>TEXT(Table1[[#This Row],[Date]],"mmmm")</f>
        <v>January</v>
      </c>
    </row>
    <row r="21" spans="1:6" x14ac:dyDescent="0.3">
      <c r="A21" s="6">
        <v>46032</v>
      </c>
      <c r="B21" s="1" t="s">
        <v>32</v>
      </c>
      <c r="C21" s="1" t="s">
        <v>6</v>
      </c>
      <c r="D21" s="1">
        <v>110</v>
      </c>
      <c r="E21" s="7" t="s">
        <v>10</v>
      </c>
      <c r="F21" s="1" t="str">
        <f>TEXT(Table1[[#This Row],[Date]],"mmmm")</f>
        <v>January</v>
      </c>
    </row>
    <row r="22" spans="1:6" x14ac:dyDescent="0.3">
      <c r="A22" s="6">
        <v>46033</v>
      </c>
      <c r="B22" s="1" t="s">
        <v>11</v>
      </c>
      <c r="C22" s="1" t="s">
        <v>6</v>
      </c>
      <c r="D22" s="1">
        <v>200</v>
      </c>
      <c r="E22" s="7" t="s">
        <v>7</v>
      </c>
      <c r="F22" s="1" t="str">
        <f>TEXT(Table1[[#This Row],[Date]],"mmmm")</f>
        <v>January</v>
      </c>
    </row>
    <row r="23" spans="1:6" x14ac:dyDescent="0.3">
      <c r="A23" s="6">
        <v>46033</v>
      </c>
      <c r="B23" s="1" t="s">
        <v>33</v>
      </c>
      <c r="C23" s="1" t="s">
        <v>9</v>
      </c>
      <c r="D23" s="1">
        <v>300</v>
      </c>
      <c r="E23" s="7" t="s">
        <v>14</v>
      </c>
      <c r="F23" s="1" t="str">
        <f>TEXT(Table1[[#This Row],[Date]],"mmmm")</f>
        <v>January</v>
      </c>
    </row>
    <row r="24" spans="1:6" x14ac:dyDescent="0.3">
      <c r="A24" s="6">
        <v>46034</v>
      </c>
      <c r="B24" s="1" t="s">
        <v>34</v>
      </c>
      <c r="C24" s="1" t="s">
        <v>23</v>
      </c>
      <c r="D24" s="1">
        <v>1800</v>
      </c>
      <c r="E24" s="7" t="s">
        <v>14</v>
      </c>
      <c r="F24" s="1" t="str">
        <f>TEXT(Table1[[#This Row],[Date]],"mmmm")</f>
        <v>January</v>
      </c>
    </row>
    <row r="25" spans="1:6" x14ac:dyDescent="0.3">
      <c r="A25" s="6">
        <v>46034</v>
      </c>
      <c r="B25" s="1" t="s">
        <v>35</v>
      </c>
      <c r="C25" s="1" t="s">
        <v>16</v>
      </c>
      <c r="D25" s="1">
        <v>400</v>
      </c>
      <c r="E25" s="7" t="s">
        <v>7</v>
      </c>
      <c r="F25" s="1" t="str">
        <f>TEXT(Table1[[#This Row],[Date]],"mmmm")</f>
        <v>January</v>
      </c>
    </row>
    <row r="26" spans="1:6" x14ac:dyDescent="0.3">
      <c r="A26" s="6">
        <v>46035</v>
      </c>
      <c r="B26" s="1" t="s">
        <v>17</v>
      </c>
      <c r="C26" s="1" t="s">
        <v>6</v>
      </c>
      <c r="D26" s="1">
        <v>250</v>
      </c>
      <c r="E26" s="7" t="s">
        <v>10</v>
      </c>
      <c r="F26" s="1" t="str">
        <f>TEXT(Table1[[#This Row],[Date]],"mmmm")</f>
        <v>January</v>
      </c>
    </row>
    <row r="27" spans="1:6" x14ac:dyDescent="0.3">
      <c r="A27" s="6">
        <v>46035</v>
      </c>
      <c r="B27" s="1" t="s">
        <v>36</v>
      </c>
      <c r="C27" s="1" t="s">
        <v>9</v>
      </c>
      <c r="D27" s="1">
        <v>600</v>
      </c>
      <c r="E27" s="7" t="s">
        <v>14</v>
      </c>
      <c r="F27" s="1" t="str">
        <f>TEXT(Table1[[#This Row],[Date]],"mmmm")</f>
        <v>January</v>
      </c>
    </row>
    <row r="28" spans="1:6" x14ac:dyDescent="0.3">
      <c r="A28" s="6">
        <v>46036</v>
      </c>
      <c r="B28" s="1" t="s">
        <v>19</v>
      </c>
      <c r="C28" s="1" t="s">
        <v>13</v>
      </c>
      <c r="D28" s="1">
        <v>970</v>
      </c>
      <c r="E28" s="7" t="s">
        <v>20</v>
      </c>
      <c r="F28" s="1" t="str">
        <f>TEXT(Table1[[#This Row],[Date]],"mmmm")</f>
        <v>January</v>
      </c>
    </row>
    <row r="29" spans="1:6" x14ac:dyDescent="0.3">
      <c r="A29" s="6">
        <v>46036</v>
      </c>
      <c r="B29" s="1" t="s">
        <v>37</v>
      </c>
      <c r="C29" s="1" t="s">
        <v>16</v>
      </c>
      <c r="D29" s="1">
        <v>900</v>
      </c>
      <c r="E29" s="7" t="s">
        <v>7</v>
      </c>
      <c r="F29" s="1" t="str">
        <f>TEXT(Table1[[#This Row],[Date]],"mmmm")</f>
        <v>January</v>
      </c>
    </row>
    <row r="30" spans="1:6" x14ac:dyDescent="0.3">
      <c r="A30" s="6">
        <v>46037</v>
      </c>
      <c r="B30" s="1" t="s">
        <v>38</v>
      </c>
      <c r="C30" s="1" t="s">
        <v>6</v>
      </c>
      <c r="D30" s="1">
        <v>500</v>
      </c>
      <c r="E30" s="7" t="s">
        <v>7</v>
      </c>
      <c r="F30" s="1" t="str">
        <f>TEXT(Table1[[#This Row],[Date]],"mmmm")</f>
        <v>January</v>
      </c>
    </row>
    <row r="31" spans="1:6" x14ac:dyDescent="0.3">
      <c r="A31" s="6">
        <v>46037</v>
      </c>
      <c r="B31" s="1" t="s">
        <v>12</v>
      </c>
      <c r="C31" s="1" t="s">
        <v>13</v>
      </c>
      <c r="D31" s="1">
        <v>299</v>
      </c>
      <c r="E31" s="7" t="s">
        <v>14</v>
      </c>
      <c r="F31" s="1" t="str">
        <f>TEXT(Table1[[#This Row],[Date]],"mmmm")</f>
        <v>January</v>
      </c>
    </row>
    <row r="32" spans="1:6" x14ac:dyDescent="0.3">
      <c r="A32" s="6">
        <v>46054</v>
      </c>
      <c r="B32" s="1" t="s">
        <v>38</v>
      </c>
      <c r="C32" s="1" t="s">
        <v>6</v>
      </c>
      <c r="D32" s="1">
        <v>480</v>
      </c>
      <c r="E32" s="7" t="s">
        <v>7</v>
      </c>
      <c r="F32" s="1" t="str">
        <f>TEXT(Table1[[#This Row],[Date]],"mmmm")</f>
        <v>February</v>
      </c>
    </row>
    <row r="33" spans="1:6" x14ac:dyDescent="0.3">
      <c r="A33" s="6">
        <v>46055</v>
      </c>
      <c r="B33" s="1" t="s">
        <v>27</v>
      </c>
      <c r="C33" s="1" t="s">
        <v>9</v>
      </c>
      <c r="D33" s="1">
        <v>650</v>
      </c>
      <c r="E33" s="7" t="s">
        <v>14</v>
      </c>
      <c r="F33" s="1" t="str">
        <f>TEXT(Table1[[#This Row],[Date]],"mmmm")</f>
        <v>February</v>
      </c>
    </row>
    <row r="34" spans="1:6" x14ac:dyDescent="0.3">
      <c r="A34" s="6">
        <v>46056</v>
      </c>
      <c r="B34" s="1" t="s">
        <v>25</v>
      </c>
      <c r="C34" s="1" t="s">
        <v>13</v>
      </c>
      <c r="D34" s="1">
        <v>999</v>
      </c>
      <c r="E34" s="7" t="s">
        <v>20</v>
      </c>
      <c r="F34" s="1" t="str">
        <f>TEXT(Table1[[#This Row],[Date]],"mmmm")</f>
        <v>February</v>
      </c>
    </row>
    <row r="35" spans="1:6" x14ac:dyDescent="0.3">
      <c r="A35" s="6">
        <v>46057</v>
      </c>
      <c r="B35" s="1" t="s">
        <v>41</v>
      </c>
      <c r="C35" s="1" t="s">
        <v>16</v>
      </c>
      <c r="D35" s="1">
        <v>300</v>
      </c>
      <c r="E35" s="7" t="s">
        <v>10</v>
      </c>
      <c r="F35" s="1" t="str">
        <f>TEXT(Table1[[#This Row],[Date]],"mmmm")</f>
        <v>February</v>
      </c>
    </row>
    <row r="36" spans="1:6" x14ac:dyDescent="0.3">
      <c r="A36" s="6">
        <v>46058</v>
      </c>
      <c r="B36" s="1" t="s">
        <v>22</v>
      </c>
      <c r="C36" s="1" t="s">
        <v>23</v>
      </c>
      <c r="D36" s="1">
        <v>1400</v>
      </c>
      <c r="E36" s="7" t="s">
        <v>14</v>
      </c>
      <c r="F36" s="1" t="str">
        <f>TEXT(Table1[[#This Row],[Date]],"mmmm")</f>
        <v>February</v>
      </c>
    </row>
    <row r="37" spans="1:6" x14ac:dyDescent="0.3">
      <c r="A37" s="6">
        <v>46068</v>
      </c>
      <c r="B37" s="1" t="s">
        <v>31</v>
      </c>
      <c r="C37" s="1" t="s">
        <v>13</v>
      </c>
      <c r="D37" s="1">
        <v>450</v>
      </c>
      <c r="E37" s="7" t="s">
        <v>20</v>
      </c>
      <c r="F37" s="1" t="str">
        <f>TEXT(Table1[[#This Row],[Date]],"mmmm")</f>
        <v>February</v>
      </c>
    </row>
    <row r="38" spans="1:6" x14ac:dyDescent="0.3">
      <c r="A38" s="6">
        <v>46073</v>
      </c>
      <c r="B38" s="1" t="s">
        <v>47</v>
      </c>
      <c r="C38" s="1" t="s">
        <v>16</v>
      </c>
      <c r="D38" s="1">
        <v>129</v>
      </c>
      <c r="E38" s="7" t="s">
        <v>7</v>
      </c>
      <c r="F38" s="1" t="str">
        <f>TEXT(Table1[[#This Row],[Date]],"mmmm")</f>
        <v>February</v>
      </c>
    </row>
    <row r="39" spans="1:6" x14ac:dyDescent="0.3">
      <c r="A39" s="6">
        <v>46078</v>
      </c>
      <c r="B39" s="1" t="s">
        <v>48</v>
      </c>
      <c r="C39" s="1" t="s">
        <v>6</v>
      </c>
      <c r="D39" s="1">
        <v>420</v>
      </c>
      <c r="E39" s="7" t="s">
        <v>10</v>
      </c>
      <c r="F39" s="1" t="str">
        <f>TEXT(Table1[[#This Row],[Date]],"mmmm")</f>
        <v>February</v>
      </c>
    </row>
    <row r="40" spans="1:6" x14ac:dyDescent="0.3">
      <c r="A40" s="6">
        <v>46081</v>
      </c>
      <c r="B40" s="1" t="s">
        <v>45</v>
      </c>
      <c r="C40" s="1" t="s">
        <v>46</v>
      </c>
      <c r="D40" s="1">
        <v>280</v>
      </c>
      <c r="E40" s="7" t="s">
        <v>14</v>
      </c>
      <c r="F40" s="1" t="str">
        <f>TEXT(Table1[[#This Row],[Date]],"mmmm")</f>
        <v>February</v>
      </c>
    </row>
    <row r="41" spans="1:6" x14ac:dyDescent="0.3">
      <c r="A41" s="6">
        <v>46082</v>
      </c>
      <c r="B41" s="1" t="s">
        <v>38</v>
      </c>
      <c r="C41" s="1" t="s">
        <v>6</v>
      </c>
      <c r="D41" s="1">
        <v>520</v>
      </c>
      <c r="E41" s="7" t="s">
        <v>7</v>
      </c>
      <c r="F41" s="1" t="str">
        <f>TEXT(Table1[[#This Row],[Date]],"mmmm")</f>
        <v>March</v>
      </c>
    </row>
    <row r="42" spans="1:6" x14ac:dyDescent="0.3">
      <c r="A42" s="6">
        <v>46083</v>
      </c>
      <c r="B42" s="1" t="s">
        <v>8</v>
      </c>
      <c r="C42" s="1" t="s">
        <v>9</v>
      </c>
      <c r="D42" s="1">
        <v>50</v>
      </c>
      <c r="E42" s="7" t="s">
        <v>10</v>
      </c>
      <c r="F42" s="1" t="str">
        <f>TEXT(Table1[[#This Row],[Date]],"mmmm")</f>
        <v>March</v>
      </c>
    </row>
    <row r="43" spans="1:6" x14ac:dyDescent="0.3">
      <c r="A43" s="6">
        <v>46084</v>
      </c>
      <c r="B43" s="1" t="s">
        <v>12</v>
      </c>
      <c r="C43" s="1" t="s">
        <v>13</v>
      </c>
      <c r="D43" s="1">
        <v>299</v>
      </c>
      <c r="E43" s="7" t="s">
        <v>14</v>
      </c>
      <c r="F43" s="1" t="str">
        <f>TEXT(Table1[[#This Row],[Date]],"mmmm")</f>
        <v>March</v>
      </c>
    </row>
    <row r="44" spans="1:6" x14ac:dyDescent="0.3">
      <c r="A44" s="6">
        <v>46085</v>
      </c>
      <c r="B44" s="1" t="s">
        <v>37</v>
      </c>
      <c r="C44" s="1" t="s">
        <v>16</v>
      </c>
      <c r="D44" s="1">
        <v>850</v>
      </c>
      <c r="E44" s="7" t="s">
        <v>7</v>
      </c>
      <c r="F44" s="1" t="str">
        <f>TEXT(Table1[[#This Row],[Date]],"mmmm")</f>
        <v>March</v>
      </c>
    </row>
    <row r="45" spans="1:6" x14ac:dyDescent="0.3">
      <c r="A45" s="6">
        <v>46086</v>
      </c>
      <c r="B45" s="1" t="s">
        <v>34</v>
      </c>
      <c r="C45" s="1" t="s">
        <v>23</v>
      </c>
      <c r="D45" s="1">
        <v>2100</v>
      </c>
      <c r="E45" s="7" t="s">
        <v>14</v>
      </c>
      <c r="F45" s="1" t="str">
        <f>TEXT(Table1[[#This Row],[Date]],"mmmm")</f>
        <v>March</v>
      </c>
    </row>
    <row r="46" spans="1:6" x14ac:dyDescent="0.3">
      <c r="A46" s="6">
        <v>46096</v>
      </c>
      <c r="B46" s="1" t="s">
        <v>49</v>
      </c>
      <c r="C46" s="1" t="s">
        <v>43</v>
      </c>
      <c r="D46" s="1">
        <v>950</v>
      </c>
      <c r="E46" s="7" t="s">
        <v>10</v>
      </c>
      <c r="F46" s="1" t="str">
        <f>TEXT(Table1[[#This Row],[Date]],"mmmm")</f>
        <v>March</v>
      </c>
    </row>
    <row r="47" spans="1:6" x14ac:dyDescent="0.3">
      <c r="A47" s="6">
        <v>46101</v>
      </c>
      <c r="B47" s="1" t="s">
        <v>50</v>
      </c>
      <c r="C47" s="1" t="s">
        <v>16</v>
      </c>
      <c r="D47" s="1">
        <v>179</v>
      </c>
      <c r="E47" s="7" t="s">
        <v>14</v>
      </c>
      <c r="F47" s="1" t="str">
        <f>TEXT(Table1[[#This Row],[Date]],"mmmm")</f>
        <v>March</v>
      </c>
    </row>
    <row r="48" spans="1:6" x14ac:dyDescent="0.3">
      <c r="A48" s="6">
        <v>46106</v>
      </c>
      <c r="B48" s="1" t="s">
        <v>51</v>
      </c>
      <c r="C48" s="1" t="s">
        <v>6</v>
      </c>
      <c r="D48" s="1">
        <v>380</v>
      </c>
      <c r="E48" s="7" t="s">
        <v>7</v>
      </c>
      <c r="F48" s="1" t="str">
        <f>TEXT(Table1[[#This Row],[Date]],"mmmm")</f>
        <v>March</v>
      </c>
    </row>
    <row r="49" spans="1:6" x14ac:dyDescent="0.3">
      <c r="A49" s="6">
        <v>46112</v>
      </c>
      <c r="B49" s="1" t="s">
        <v>52</v>
      </c>
      <c r="C49" s="1" t="s">
        <v>46</v>
      </c>
      <c r="D49" s="1">
        <v>1200</v>
      </c>
      <c r="E49" s="7" t="s">
        <v>14</v>
      </c>
      <c r="F49" s="1" t="str">
        <f>TEXT(Table1[[#This Row],[Date]],"mmmm")</f>
        <v>March</v>
      </c>
    </row>
    <row r="50" spans="1:6" x14ac:dyDescent="0.3">
      <c r="A50" s="6">
        <v>46113</v>
      </c>
      <c r="B50" s="1" t="s">
        <v>38</v>
      </c>
      <c r="C50" s="1" t="s">
        <v>6</v>
      </c>
      <c r="D50" s="1">
        <v>490</v>
      </c>
      <c r="E50" s="7" t="s">
        <v>7</v>
      </c>
      <c r="F50" s="1" t="str">
        <f>TEXT(Table1[[#This Row],[Date]],"mmmm")</f>
        <v>April</v>
      </c>
    </row>
    <row r="51" spans="1:6" x14ac:dyDescent="0.3">
      <c r="A51" s="6">
        <v>46114</v>
      </c>
      <c r="B51" s="1" t="s">
        <v>53</v>
      </c>
      <c r="C51" s="1" t="s">
        <v>9</v>
      </c>
      <c r="D51" s="1">
        <v>120</v>
      </c>
      <c r="E51" s="7" t="s">
        <v>10</v>
      </c>
      <c r="F51" s="1" t="str">
        <f>TEXT(Table1[[#This Row],[Date]],"mmmm")</f>
        <v>April</v>
      </c>
    </row>
    <row r="52" spans="1:6" x14ac:dyDescent="0.3">
      <c r="A52" s="6">
        <v>46115</v>
      </c>
      <c r="B52" s="1" t="s">
        <v>54</v>
      </c>
      <c r="C52" s="1" t="s">
        <v>13</v>
      </c>
      <c r="D52" s="1">
        <v>750</v>
      </c>
      <c r="E52" s="7" t="s">
        <v>20</v>
      </c>
      <c r="F52" s="1" t="str">
        <f>TEXT(Table1[[#This Row],[Date]],"mmmm")</f>
        <v>April</v>
      </c>
    </row>
    <row r="53" spans="1:6" x14ac:dyDescent="0.3">
      <c r="A53" s="6">
        <v>46116</v>
      </c>
      <c r="B53" s="1" t="s">
        <v>55</v>
      </c>
      <c r="C53" s="1" t="s">
        <v>16</v>
      </c>
      <c r="D53" s="1">
        <v>1200</v>
      </c>
      <c r="E53" s="7" t="s">
        <v>14</v>
      </c>
      <c r="F53" s="1" t="str">
        <f>TEXT(Table1[[#This Row],[Date]],"mmmm")</f>
        <v>April</v>
      </c>
    </row>
    <row r="54" spans="1:6" x14ac:dyDescent="0.3">
      <c r="A54" s="6">
        <v>46117</v>
      </c>
      <c r="B54" s="1" t="s">
        <v>56</v>
      </c>
      <c r="C54" s="1" t="s">
        <v>23</v>
      </c>
      <c r="D54" s="1">
        <v>2200</v>
      </c>
      <c r="E54" s="7" t="s">
        <v>7</v>
      </c>
      <c r="F54" s="1" t="str">
        <f>TEXT(Table1[[#This Row],[Date]],"mmmm")</f>
        <v>April</v>
      </c>
    </row>
    <row r="55" spans="1:6" x14ac:dyDescent="0.3">
      <c r="A55" s="6">
        <v>46127</v>
      </c>
      <c r="B55" s="1" t="s">
        <v>42</v>
      </c>
      <c r="C55" s="1" t="s">
        <v>43</v>
      </c>
      <c r="D55" s="1">
        <v>25000</v>
      </c>
      <c r="E55" s="7" t="s">
        <v>20</v>
      </c>
      <c r="F55" s="1" t="str">
        <f>TEXT(Table1[[#This Row],[Date]],"mmmm")</f>
        <v>April</v>
      </c>
    </row>
    <row r="56" spans="1:6" x14ac:dyDescent="0.3">
      <c r="A56" s="6">
        <v>46132</v>
      </c>
      <c r="B56" s="1" t="s">
        <v>57</v>
      </c>
      <c r="C56" s="1" t="s">
        <v>16</v>
      </c>
      <c r="D56" s="1">
        <v>159</v>
      </c>
      <c r="E56" s="7" t="s">
        <v>14</v>
      </c>
      <c r="F56" s="1" t="str">
        <f>TEXT(Table1[[#This Row],[Date]],"mmmm")</f>
        <v>April</v>
      </c>
    </row>
    <row r="57" spans="1:6" x14ac:dyDescent="0.3">
      <c r="A57" s="6">
        <v>46137</v>
      </c>
      <c r="B57" s="1" t="s">
        <v>58</v>
      </c>
      <c r="C57" s="1" t="s">
        <v>6</v>
      </c>
      <c r="D57" s="1">
        <v>280</v>
      </c>
      <c r="E57" s="7" t="s">
        <v>10</v>
      </c>
      <c r="F57" s="1" t="str">
        <f>TEXT(Table1[[#This Row],[Date]],"mmmm")</f>
        <v>April</v>
      </c>
    </row>
    <row r="58" spans="1:6" x14ac:dyDescent="0.3">
      <c r="A58" s="6">
        <v>46142</v>
      </c>
      <c r="B58" s="1" t="s">
        <v>59</v>
      </c>
      <c r="C58" s="1" t="s">
        <v>46</v>
      </c>
      <c r="D58" s="1">
        <v>3500</v>
      </c>
      <c r="E58" s="7" t="s">
        <v>14</v>
      </c>
      <c r="F58" s="1" t="str">
        <f>TEXT(Table1[[#This Row],[Date]],"mmmm")</f>
        <v>April</v>
      </c>
    </row>
    <row r="59" spans="1:6" x14ac:dyDescent="0.3">
      <c r="A59" s="6">
        <v>46143</v>
      </c>
      <c r="B59" s="1" t="s">
        <v>38</v>
      </c>
      <c r="C59" s="1" t="s">
        <v>6</v>
      </c>
      <c r="D59" s="1">
        <v>510</v>
      </c>
      <c r="E59" s="7" t="s">
        <v>7</v>
      </c>
      <c r="F59" s="1" t="str">
        <f>TEXT(Table1[[#This Row],[Date]],"mmmm")</f>
        <v>May</v>
      </c>
    </row>
    <row r="60" spans="1:6" x14ac:dyDescent="0.3">
      <c r="A60" s="6">
        <v>46144</v>
      </c>
      <c r="B60" s="1" t="s">
        <v>60</v>
      </c>
      <c r="C60" s="1" t="s">
        <v>9</v>
      </c>
      <c r="D60" s="1">
        <v>1450</v>
      </c>
      <c r="E60" s="7" t="s">
        <v>14</v>
      </c>
      <c r="F60" s="1" t="str">
        <f>TEXT(Table1[[#This Row],[Date]],"mmmm")</f>
        <v>May</v>
      </c>
    </row>
    <row r="61" spans="1:6" x14ac:dyDescent="0.3">
      <c r="A61" s="6">
        <v>46145</v>
      </c>
      <c r="B61" s="1" t="s">
        <v>25</v>
      </c>
      <c r="C61" s="1" t="s">
        <v>13</v>
      </c>
      <c r="D61" s="1">
        <v>999</v>
      </c>
      <c r="E61" s="7" t="s">
        <v>20</v>
      </c>
      <c r="F61" s="1" t="str">
        <f>TEXT(Table1[[#This Row],[Date]],"mmmm")</f>
        <v>May</v>
      </c>
    </row>
    <row r="62" spans="1:6" x14ac:dyDescent="0.3">
      <c r="A62" s="6">
        <v>46146</v>
      </c>
      <c r="B62" s="1" t="s">
        <v>61</v>
      </c>
      <c r="C62" s="1" t="s">
        <v>16</v>
      </c>
      <c r="D62" s="1">
        <v>149</v>
      </c>
      <c r="E62" s="7" t="s">
        <v>7</v>
      </c>
      <c r="F62" s="1" t="str">
        <f>TEXT(Table1[[#This Row],[Date]],"mmmm")</f>
        <v>May</v>
      </c>
    </row>
    <row r="63" spans="1:6" x14ac:dyDescent="0.3">
      <c r="A63" s="6">
        <v>46147</v>
      </c>
      <c r="B63" s="1" t="s">
        <v>62</v>
      </c>
      <c r="C63" s="1" t="s">
        <v>23</v>
      </c>
      <c r="D63" s="1">
        <v>4500</v>
      </c>
      <c r="E63" s="7" t="s">
        <v>14</v>
      </c>
      <c r="F63" s="1" t="str">
        <f>TEXT(Table1[[#This Row],[Date]],"mmmm")</f>
        <v>May</v>
      </c>
    </row>
    <row r="64" spans="1:6" x14ac:dyDescent="0.3">
      <c r="A64" s="6">
        <v>46157</v>
      </c>
      <c r="B64" s="1" t="s">
        <v>63</v>
      </c>
      <c r="C64" s="1" t="s">
        <v>43</v>
      </c>
      <c r="D64" s="1">
        <v>800</v>
      </c>
      <c r="E64" s="7" t="s">
        <v>10</v>
      </c>
      <c r="F64" s="1" t="str">
        <f>TEXT(Table1[[#This Row],[Date]],"mmmm")</f>
        <v>May</v>
      </c>
    </row>
    <row r="65" spans="1:6" x14ac:dyDescent="0.3">
      <c r="A65" s="6">
        <v>46162</v>
      </c>
      <c r="B65" s="1" t="s">
        <v>64</v>
      </c>
      <c r="C65" s="1" t="s">
        <v>9</v>
      </c>
      <c r="D65" s="1">
        <v>320</v>
      </c>
      <c r="E65" s="7" t="s">
        <v>7</v>
      </c>
      <c r="F65" s="1" t="str">
        <f>TEXT(Table1[[#This Row],[Date]],"mmmm")</f>
        <v>May</v>
      </c>
    </row>
    <row r="66" spans="1:6" x14ac:dyDescent="0.3">
      <c r="A66" s="6">
        <v>46167</v>
      </c>
      <c r="B66" s="1" t="s">
        <v>37</v>
      </c>
      <c r="C66" s="1" t="s">
        <v>6</v>
      </c>
      <c r="D66" s="1">
        <v>920</v>
      </c>
      <c r="E66" s="7" t="s">
        <v>14</v>
      </c>
      <c r="F66" s="1" t="str">
        <f>TEXT(Table1[[#This Row],[Date]],"mmmm")</f>
        <v>May</v>
      </c>
    </row>
    <row r="67" spans="1:6" x14ac:dyDescent="0.3">
      <c r="A67" s="6">
        <v>46173</v>
      </c>
      <c r="B67" s="1" t="s">
        <v>65</v>
      </c>
      <c r="C67" s="1" t="s">
        <v>46</v>
      </c>
      <c r="D67" s="1">
        <v>850</v>
      </c>
      <c r="E67" s="7" t="s">
        <v>10</v>
      </c>
      <c r="F67" s="1" t="str">
        <f>TEXT(Table1[[#This Row],[Date]],"mmmm")</f>
        <v>May</v>
      </c>
    </row>
    <row r="68" spans="1:6" x14ac:dyDescent="0.3">
      <c r="A68" s="6">
        <v>46174</v>
      </c>
      <c r="B68" s="1" t="s">
        <v>38</v>
      </c>
      <c r="C68" s="1" t="s">
        <v>6</v>
      </c>
      <c r="D68" s="1">
        <v>470</v>
      </c>
      <c r="E68" s="7" t="s">
        <v>7</v>
      </c>
      <c r="F68" s="1" t="str">
        <f>TEXT(Table1[[#This Row],[Date]],"mmmm")</f>
        <v>June</v>
      </c>
    </row>
    <row r="69" spans="1:6" x14ac:dyDescent="0.3">
      <c r="A69" s="6">
        <v>46175</v>
      </c>
      <c r="B69" s="1" t="s">
        <v>27</v>
      </c>
      <c r="C69" s="1" t="s">
        <v>9</v>
      </c>
      <c r="D69" s="1">
        <v>680</v>
      </c>
      <c r="E69" s="7" t="s">
        <v>14</v>
      </c>
      <c r="F69" s="1" t="str">
        <f>TEXT(Table1[[#This Row],[Date]],"mmmm")</f>
        <v>June</v>
      </c>
    </row>
    <row r="70" spans="1:6" x14ac:dyDescent="0.3">
      <c r="A70" s="6">
        <v>46176</v>
      </c>
      <c r="B70" s="1" t="s">
        <v>12</v>
      </c>
      <c r="C70" s="1" t="s">
        <v>13</v>
      </c>
      <c r="D70" s="1">
        <v>299</v>
      </c>
      <c r="E70" s="7" t="s">
        <v>20</v>
      </c>
      <c r="F70" s="1" t="str">
        <f>TEXT(Table1[[#This Row],[Date]],"mmmm")</f>
        <v>June</v>
      </c>
    </row>
    <row r="71" spans="1:6" x14ac:dyDescent="0.3">
      <c r="A71" s="6">
        <v>46177</v>
      </c>
      <c r="B71" s="1" t="s">
        <v>66</v>
      </c>
      <c r="C71" s="1" t="s">
        <v>16</v>
      </c>
      <c r="D71" s="1">
        <v>1800</v>
      </c>
      <c r="E71" s="7" t="s">
        <v>10</v>
      </c>
      <c r="F71" s="1" t="str">
        <f>TEXT(Table1[[#This Row],[Date]],"mmmm")</f>
        <v>June</v>
      </c>
    </row>
    <row r="72" spans="1:6" x14ac:dyDescent="0.3">
      <c r="A72" s="6">
        <v>46178</v>
      </c>
      <c r="B72" s="1" t="s">
        <v>67</v>
      </c>
      <c r="C72" s="1" t="s">
        <v>23</v>
      </c>
      <c r="D72" s="1">
        <v>1200</v>
      </c>
      <c r="E72" s="7" t="s">
        <v>14</v>
      </c>
      <c r="F72" s="1" t="str">
        <f>TEXT(Table1[[#This Row],[Date]],"mmmm")</f>
        <v>June</v>
      </c>
    </row>
    <row r="73" spans="1:6" x14ac:dyDescent="0.3">
      <c r="A73" s="6">
        <v>46188</v>
      </c>
      <c r="B73" s="1" t="s">
        <v>42</v>
      </c>
      <c r="C73" s="1" t="s">
        <v>43</v>
      </c>
      <c r="D73" s="1">
        <v>25000</v>
      </c>
      <c r="E73" s="7" t="s">
        <v>7</v>
      </c>
      <c r="F73" s="1" t="str">
        <f>TEXT(Table1[[#This Row],[Date]],"mmmm")</f>
        <v>June</v>
      </c>
    </row>
    <row r="74" spans="1:6" x14ac:dyDescent="0.3">
      <c r="A74" s="6">
        <v>46193</v>
      </c>
      <c r="B74" s="1" t="s">
        <v>68</v>
      </c>
      <c r="C74" s="1" t="s">
        <v>6</v>
      </c>
      <c r="D74" s="1">
        <v>620</v>
      </c>
      <c r="E74" s="7" t="s">
        <v>7</v>
      </c>
      <c r="F74" s="1" t="str">
        <f>TEXT(Table1[[#This Row],[Date]],"mmmm")</f>
        <v>June</v>
      </c>
    </row>
    <row r="75" spans="1:6" x14ac:dyDescent="0.3">
      <c r="A75" s="6">
        <v>46198</v>
      </c>
      <c r="B75" s="1" t="s">
        <v>69</v>
      </c>
      <c r="C75" s="1" t="s">
        <v>6</v>
      </c>
      <c r="D75" s="1">
        <v>450</v>
      </c>
      <c r="E75" s="7" t="s">
        <v>14</v>
      </c>
      <c r="F75" s="1" t="str">
        <f>TEXT(Table1[[#This Row],[Date]],"mmmm")</f>
        <v>June</v>
      </c>
    </row>
    <row r="76" spans="1:6" x14ac:dyDescent="0.3">
      <c r="A76" s="6">
        <v>46203</v>
      </c>
      <c r="B76" s="1" t="s">
        <v>70</v>
      </c>
      <c r="C76" s="1" t="s">
        <v>46</v>
      </c>
      <c r="D76" s="1">
        <v>750</v>
      </c>
      <c r="E76" s="7" t="s">
        <v>20</v>
      </c>
      <c r="F76" s="1" t="str">
        <f>TEXT(Table1[[#This Row],[Date]],"mmmm")</f>
        <v>June</v>
      </c>
    </row>
    <row r="77" spans="1:6" x14ac:dyDescent="0.3">
      <c r="A77" s="6">
        <v>46204</v>
      </c>
      <c r="B77" s="1" t="s">
        <v>38</v>
      </c>
      <c r="C77" s="1" t="s">
        <v>6</v>
      </c>
      <c r="D77" s="1">
        <v>495</v>
      </c>
      <c r="E77" s="7" t="s">
        <v>7</v>
      </c>
      <c r="F77" s="1" t="str">
        <f>TEXT(Table1[[#This Row],[Date]],"mmmm")</f>
        <v>July</v>
      </c>
    </row>
    <row r="78" spans="1:6" x14ac:dyDescent="0.3">
      <c r="A78" s="6">
        <v>46205</v>
      </c>
      <c r="B78" s="1" t="s">
        <v>44</v>
      </c>
      <c r="C78" s="1" t="s">
        <v>9</v>
      </c>
      <c r="D78" s="1">
        <v>800</v>
      </c>
      <c r="E78" s="7" t="s">
        <v>10</v>
      </c>
      <c r="F78" s="1" t="str">
        <f>TEXT(Table1[[#This Row],[Date]],"mmmm")</f>
        <v>July</v>
      </c>
    </row>
    <row r="79" spans="1:6" x14ac:dyDescent="0.3">
      <c r="A79" s="6">
        <v>46206</v>
      </c>
      <c r="B79" s="1" t="s">
        <v>40</v>
      </c>
      <c r="C79" s="1" t="s">
        <v>13</v>
      </c>
      <c r="D79" s="1">
        <v>1350</v>
      </c>
      <c r="E79" s="7" t="s">
        <v>20</v>
      </c>
      <c r="F79" s="1" t="str">
        <f>TEXT(Table1[[#This Row],[Date]],"mmmm")</f>
        <v>July</v>
      </c>
    </row>
    <row r="80" spans="1:6" x14ac:dyDescent="0.3">
      <c r="A80" s="6">
        <v>46207</v>
      </c>
      <c r="B80" s="1" t="s">
        <v>71</v>
      </c>
      <c r="C80" s="1" t="s">
        <v>16</v>
      </c>
      <c r="D80" s="1">
        <v>650</v>
      </c>
      <c r="E80" s="7" t="s">
        <v>14</v>
      </c>
      <c r="F80" s="1" t="str">
        <f>TEXT(Table1[[#This Row],[Date]],"mmmm")</f>
        <v>July</v>
      </c>
    </row>
    <row r="81" spans="1:6" x14ac:dyDescent="0.3">
      <c r="A81" s="6">
        <v>46208</v>
      </c>
      <c r="B81" s="1" t="s">
        <v>72</v>
      </c>
      <c r="C81" s="1" t="s">
        <v>23</v>
      </c>
      <c r="D81" s="1">
        <v>950</v>
      </c>
      <c r="E81" s="7" t="s">
        <v>7</v>
      </c>
      <c r="F81" s="1" t="str">
        <f>TEXT(Table1[[#This Row],[Date]],"mmmm")</f>
        <v>July</v>
      </c>
    </row>
    <row r="82" spans="1:6" x14ac:dyDescent="0.3">
      <c r="A82" s="6">
        <v>46218</v>
      </c>
      <c r="B82" s="1" t="s">
        <v>25</v>
      </c>
      <c r="C82" s="1" t="s">
        <v>13</v>
      </c>
      <c r="D82" s="1">
        <v>999</v>
      </c>
      <c r="E82" s="7" t="s">
        <v>14</v>
      </c>
      <c r="F82" s="1" t="str">
        <f>TEXT(Table1[[#This Row],[Date]],"mmmm")</f>
        <v>July</v>
      </c>
    </row>
    <row r="83" spans="1:6" x14ac:dyDescent="0.3">
      <c r="A83" s="6">
        <v>46223</v>
      </c>
      <c r="B83" s="1" t="s">
        <v>48</v>
      </c>
      <c r="C83" s="1" t="s">
        <v>6</v>
      </c>
      <c r="D83" s="1">
        <v>380</v>
      </c>
      <c r="E83" s="7" t="s">
        <v>10</v>
      </c>
      <c r="F83" s="1" t="str">
        <f>TEXT(Table1[[#This Row],[Date]],"mmmm")</f>
        <v>July</v>
      </c>
    </row>
    <row r="84" spans="1:6" x14ac:dyDescent="0.3">
      <c r="A84" s="6">
        <v>46228</v>
      </c>
      <c r="B84" s="1" t="s">
        <v>45</v>
      </c>
      <c r="C84" s="1" t="s">
        <v>46</v>
      </c>
      <c r="D84" s="1">
        <v>420</v>
      </c>
      <c r="E84" s="7" t="s">
        <v>7</v>
      </c>
      <c r="F84" s="1" t="str">
        <f>TEXT(Table1[[#This Row],[Date]],"mmmm")</f>
        <v>July</v>
      </c>
    </row>
    <row r="85" spans="1:6" x14ac:dyDescent="0.3">
      <c r="A85" s="6">
        <v>46234</v>
      </c>
      <c r="B85" s="1" t="s">
        <v>73</v>
      </c>
      <c r="C85" s="1" t="s">
        <v>9</v>
      </c>
      <c r="D85" s="1">
        <v>2800</v>
      </c>
      <c r="E85" s="7" t="s">
        <v>14</v>
      </c>
      <c r="F85" s="1" t="str">
        <f>TEXT(Table1[[#This Row],[Date]],"mmmm")</f>
        <v>July</v>
      </c>
    </row>
    <row r="86" spans="1:6" x14ac:dyDescent="0.3">
      <c r="A86" s="6">
        <v>46235</v>
      </c>
      <c r="B86" s="1" t="s">
        <v>38</v>
      </c>
      <c r="C86" s="1" t="s">
        <v>6</v>
      </c>
      <c r="D86" s="1">
        <v>530</v>
      </c>
      <c r="E86" s="7" t="s">
        <v>7</v>
      </c>
      <c r="F86" s="1" t="str">
        <f>TEXT(Table1[[#This Row],[Date]],"mmmm")</f>
        <v>August</v>
      </c>
    </row>
    <row r="87" spans="1:6" x14ac:dyDescent="0.3">
      <c r="A87" s="6">
        <v>46236</v>
      </c>
      <c r="B87" s="1" t="s">
        <v>74</v>
      </c>
      <c r="C87" s="1" t="s">
        <v>9</v>
      </c>
      <c r="D87" s="1">
        <v>2200</v>
      </c>
      <c r="E87" s="7" t="s">
        <v>14</v>
      </c>
      <c r="F87" s="1" t="str">
        <f>TEXT(Table1[[#This Row],[Date]],"mmmm")</f>
        <v>August</v>
      </c>
    </row>
    <row r="88" spans="1:6" x14ac:dyDescent="0.3">
      <c r="A88" s="6">
        <v>46237</v>
      </c>
      <c r="B88" s="1" t="s">
        <v>31</v>
      </c>
      <c r="C88" s="1" t="s">
        <v>13</v>
      </c>
      <c r="D88" s="1">
        <v>450</v>
      </c>
      <c r="E88" s="7" t="s">
        <v>20</v>
      </c>
      <c r="F88" s="1" t="str">
        <f>TEXT(Table1[[#This Row],[Date]],"mmmm")</f>
        <v>August</v>
      </c>
    </row>
    <row r="89" spans="1:6" x14ac:dyDescent="0.3">
      <c r="A89" s="6">
        <v>46238</v>
      </c>
      <c r="B89" s="1" t="s">
        <v>75</v>
      </c>
      <c r="C89" s="1" t="s">
        <v>16</v>
      </c>
      <c r="D89" s="1">
        <v>1400</v>
      </c>
      <c r="E89" s="7" t="s">
        <v>10</v>
      </c>
      <c r="F89" s="1" t="str">
        <f>TEXT(Table1[[#This Row],[Date]],"mmmm")</f>
        <v>August</v>
      </c>
    </row>
    <row r="90" spans="1:6" x14ac:dyDescent="0.3">
      <c r="A90" s="6">
        <v>46239</v>
      </c>
      <c r="B90" s="1" t="s">
        <v>76</v>
      </c>
      <c r="C90" s="1" t="s">
        <v>23</v>
      </c>
      <c r="D90" s="1">
        <v>1800</v>
      </c>
      <c r="E90" s="7" t="s">
        <v>14</v>
      </c>
      <c r="F90" s="1" t="str">
        <f>TEXT(Table1[[#This Row],[Date]],"mmmm")</f>
        <v>August</v>
      </c>
    </row>
    <row r="91" spans="1:6" x14ac:dyDescent="0.3">
      <c r="A91" s="6">
        <v>46249</v>
      </c>
      <c r="B91" s="1" t="s">
        <v>42</v>
      </c>
      <c r="C91" s="1" t="s">
        <v>43</v>
      </c>
      <c r="D91" s="1">
        <v>25000</v>
      </c>
      <c r="E91" s="7" t="s">
        <v>7</v>
      </c>
      <c r="F91" s="1" t="str">
        <f>TEXT(Table1[[#This Row],[Date]],"mmmm")</f>
        <v>August</v>
      </c>
    </row>
    <row r="92" spans="1:6" x14ac:dyDescent="0.3">
      <c r="A92" s="6">
        <v>46254</v>
      </c>
      <c r="B92" s="1" t="s">
        <v>77</v>
      </c>
      <c r="C92" s="1" t="s">
        <v>6</v>
      </c>
      <c r="D92" s="1">
        <v>520</v>
      </c>
      <c r="E92" s="7" t="s">
        <v>7</v>
      </c>
      <c r="F92" s="1" t="str">
        <f>TEXT(Table1[[#This Row],[Date]],"mmmm")</f>
        <v>August</v>
      </c>
    </row>
    <row r="93" spans="1:6" x14ac:dyDescent="0.3">
      <c r="A93" s="6">
        <v>46259</v>
      </c>
      <c r="B93" s="1" t="s">
        <v>78</v>
      </c>
      <c r="C93" s="1" t="s">
        <v>6</v>
      </c>
      <c r="D93" s="1">
        <v>380</v>
      </c>
      <c r="E93" s="7" t="s">
        <v>14</v>
      </c>
      <c r="F93" s="1" t="str">
        <f>TEXT(Table1[[#This Row],[Date]],"mmmm")</f>
        <v>August</v>
      </c>
    </row>
    <row r="94" spans="1:6" x14ac:dyDescent="0.3">
      <c r="A94" s="6">
        <v>46265</v>
      </c>
      <c r="B94" s="1" t="s">
        <v>79</v>
      </c>
      <c r="C94" s="1" t="s">
        <v>46</v>
      </c>
      <c r="D94" s="1">
        <v>600</v>
      </c>
      <c r="E94" s="7" t="s">
        <v>10</v>
      </c>
      <c r="F94" s="1" t="str">
        <f>TEXT(Table1[[#This Row],[Date]],"mmmm")</f>
        <v>August</v>
      </c>
    </row>
    <row r="95" spans="1:6" x14ac:dyDescent="0.3">
      <c r="A95" s="6">
        <v>46266</v>
      </c>
      <c r="B95" s="1" t="s">
        <v>38</v>
      </c>
      <c r="C95" s="1" t="s">
        <v>6</v>
      </c>
      <c r="D95" s="1">
        <v>500</v>
      </c>
      <c r="E95" s="7" t="s">
        <v>7</v>
      </c>
      <c r="F95" s="1" t="str">
        <f>TEXT(Table1[[#This Row],[Date]],"mmmm")</f>
        <v>September</v>
      </c>
    </row>
    <row r="96" spans="1:6" x14ac:dyDescent="0.3">
      <c r="A96" s="6">
        <v>46267</v>
      </c>
      <c r="B96" s="1" t="s">
        <v>27</v>
      </c>
      <c r="C96" s="1" t="s">
        <v>9</v>
      </c>
      <c r="D96" s="1">
        <v>700</v>
      </c>
      <c r="E96" s="7" t="s">
        <v>14</v>
      </c>
      <c r="F96" s="1" t="str">
        <f>TEXT(Table1[[#This Row],[Date]],"mmmm")</f>
        <v>September</v>
      </c>
    </row>
    <row r="97" spans="1:6" x14ac:dyDescent="0.3">
      <c r="A97" s="6">
        <v>46268</v>
      </c>
      <c r="B97" s="1" t="s">
        <v>80</v>
      </c>
      <c r="C97" s="1" t="s">
        <v>13</v>
      </c>
      <c r="D97" s="1">
        <v>850</v>
      </c>
      <c r="E97" s="7" t="s">
        <v>20</v>
      </c>
      <c r="F97" s="1" t="str">
        <f>TEXT(Table1[[#This Row],[Date]],"mmmm")</f>
        <v>September</v>
      </c>
    </row>
    <row r="98" spans="1:6" x14ac:dyDescent="0.3">
      <c r="A98" s="6">
        <v>46269</v>
      </c>
      <c r="B98" s="1" t="s">
        <v>41</v>
      </c>
      <c r="C98" s="1" t="s">
        <v>16</v>
      </c>
      <c r="D98" s="1">
        <v>320</v>
      </c>
      <c r="E98" s="7" t="s">
        <v>10</v>
      </c>
      <c r="F98" s="1" t="str">
        <f>TEXT(Table1[[#This Row],[Date]],"mmmm")</f>
        <v>September</v>
      </c>
    </row>
    <row r="99" spans="1:6" x14ac:dyDescent="0.3">
      <c r="A99" s="6">
        <v>46270</v>
      </c>
      <c r="B99" s="1" t="s">
        <v>81</v>
      </c>
      <c r="C99" s="1" t="s">
        <v>23</v>
      </c>
      <c r="D99" s="1">
        <v>900</v>
      </c>
      <c r="E99" s="7" t="s">
        <v>7</v>
      </c>
      <c r="F99" s="1" t="str">
        <f>TEXT(Table1[[#This Row],[Date]],"mmmm")</f>
        <v>September</v>
      </c>
    </row>
    <row r="100" spans="1:6" x14ac:dyDescent="0.3">
      <c r="A100" s="6">
        <v>46280</v>
      </c>
      <c r="B100" s="1" t="s">
        <v>82</v>
      </c>
      <c r="C100" s="1" t="s">
        <v>43</v>
      </c>
      <c r="D100" s="1">
        <v>4500</v>
      </c>
      <c r="E100" s="7" t="s">
        <v>14</v>
      </c>
      <c r="F100" s="1" t="str">
        <f>TEXT(Table1[[#This Row],[Date]],"mmmm")</f>
        <v>September</v>
      </c>
    </row>
    <row r="101" spans="1:6" x14ac:dyDescent="0.3">
      <c r="A101" s="6">
        <v>46285</v>
      </c>
      <c r="B101" s="1" t="s">
        <v>83</v>
      </c>
      <c r="C101" s="1" t="s">
        <v>6</v>
      </c>
      <c r="D101" s="1">
        <v>280</v>
      </c>
      <c r="E101" s="7" t="s">
        <v>7</v>
      </c>
      <c r="F101" s="1" t="str">
        <f>TEXT(Table1[[#This Row],[Date]],"mmmm")</f>
        <v>September</v>
      </c>
    </row>
    <row r="102" spans="1:6" x14ac:dyDescent="0.3">
      <c r="A102" s="6">
        <v>46290</v>
      </c>
      <c r="B102" s="1" t="s">
        <v>37</v>
      </c>
      <c r="C102" s="1" t="s">
        <v>6</v>
      </c>
      <c r="D102" s="1">
        <v>780</v>
      </c>
      <c r="E102" s="7" t="s">
        <v>14</v>
      </c>
      <c r="F102" s="1" t="str">
        <f>TEXT(Table1[[#This Row],[Date]],"mmmm")</f>
        <v>September</v>
      </c>
    </row>
    <row r="103" spans="1:6" x14ac:dyDescent="0.3">
      <c r="A103" s="6">
        <v>46295</v>
      </c>
      <c r="B103" s="1" t="s">
        <v>84</v>
      </c>
      <c r="C103" s="1" t="s">
        <v>46</v>
      </c>
      <c r="D103" s="1">
        <v>850</v>
      </c>
      <c r="E103" s="7" t="s">
        <v>20</v>
      </c>
      <c r="F103" s="1" t="str">
        <f>TEXT(Table1[[#This Row],[Date]],"mmmm")</f>
        <v>September</v>
      </c>
    </row>
    <row r="104" spans="1:6" x14ac:dyDescent="0.3">
      <c r="A104" s="6">
        <v>46296</v>
      </c>
      <c r="B104" s="1" t="s">
        <v>38</v>
      </c>
      <c r="C104" s="1" t="s">
        <v>6</v>
      </c>
      <c r="D104" s="1">
        <v>460</v>
      </c>
      <c r="E104" s="7" t="s">
        <v>7</v>
      </c>
      <c r="F104" s="1" t="str">
        <f>TEXT(Table1[[#This Row],[Date]],"mmmm")</f>
        <v>October</v>
      </c>
    </row>
    <row r="105" spans="1:6" x14ac:dyDescent="0.3">
      <c r="A105" s="6">
        <v>46297</v>
      </c>
      <c r="B105" s="1" t="s">
        <v>33</v>
      </c>
      <c r="C105" s="1" t="s">
        <v>9</v>
      </c>
      <c r="D105" s="1">
        <v>500</v>
      </c>
      <c r="E105" s="7" t="s">
        <v>10</v>
      </c>
      <c r="F105" s="1" t="str">
        <f>TEXT(Table1[[#This Row],[Date]],"mmmm")</f>
        <v>October</v>
      </c>
    </row>
    <row r="106" spans="1:6" x14ac:dyDescent="0.3">
      <c r="A106" s="6">
        <v>46298</v>
      </c>
      <c r="B106" s="1" t="s">
        <v>12</v>
      </c>
      <c r="C106" s="1" t="s">
        <v>13</v>
      </c>
      <c r="D106" s="1">
        <v>299</v>
      </c>
      <c r="E106" s="7" t="s">
        <v>14</v>
      </c>
      <c r="F106" s="1" t="str">
        <f>TEXT(Table1[[#This Row],[Date]],"mmmm")</f>
        <v>October</v>
      </c>
    </row>
    <row r="107" spans="1:6" x14ac:dyDescent="0.3">
      <c r="A107" s="6">
        <v>46299</v>
      </c>
      <c r="B107" s="1" t="s">
        <v>85</v>
      </c>
      <c r="C107" s="1" t="s">
        <v>16</v>
      </c>
      <c r="D107" s="1">
        <v>450</v>
      </c>
      <c r="E107" s="7" t="s">
        <v>7</v>
      </c>
      <c r="F107" s="1" t="str">
        <f>TEXT(Table1[[#This Row],[Date]],"mmmm")</f>
        <v>October</v>
      </c>
    </row>
    <row r="108" spans="1:6" x14ac:dyDescent="0.3">
      <c r="A108" s="6">
        <v>46300</v>
      </c>
      <c r="B108" s="1" t="s">
        <v>86</v>
      </c>
      <c r="C108" s="1" t="s">
        <v>23</v>
      </c>
      <c r="D108" s="1">
        <v>1500</v>
      </c>
      <c r="E108" s="7" t="s">
        <v>14</v>
      </c>
      <c r="F108" s="1" t="str">
        <f>TEXT(Table1[[#This Row],[Date]],"mmmm")</f>
        <v>October</v>
      </c>
    </row>
    <row r="109" spans="1:6" x14ac:dyDescent="0.3">
      <c r="A109" s="6">
        <v>46310</v>
      </c>
      <c r="B109" s="1" t="s">
        <v>42</v>
      </c>
      <c r="C109" s="1" t="s">
        <v>43</v>
      </c>
      <c r="D109" s="1">
        <v>25000</v>
      </c>
      <c r="E109" s="7" t="s">
        <v>20</v>
      </c>
      <c r="F109" s="1" t="str">
        <f>TEXT(Table1[[#This Row],[Date]],"mmmm")</f>
        <v>October</v>
      </c>
    </row>
    <row r="110" spans="1:6" x14ac:dyDescent="0.3">
      <c r="A110" s="6">
        <v>46315</v>
      </c>
      <c r="B110" s="1" t="s">
        <v>58</v>
      </c>
      <c r="C110" s="1" t="s">
        <v>6</v>
      </c>
      <c r="D110" s="1">
        <v>250</v>
      </c>
      <c r="E110" s="7" t="s">
        <v>10</v>
      </c>
      <c r="F110" s="1" t="str">
        <f>TEXT(Table1[[#This Row],[Date]],"mmmm")</f>
        <v>October</v>
      </c>
    </row>
    <row r="111" spans="1:6" x14ac:dyDescent="0.3">
      <c r="A111" s="6">
        <v>46320</v>
      </c>
      <c r="B111" s="1" t="s">
        <v>45</v>
      </c>
      <c r="C111" s="1" t="s">
        <v>46</v>
      </c>
      <c r="D111" s="1">
        <v>380</v>
      </c>
      <c r="E111" s="7" t="s">
        <v>7</v>
      </c>
      <c r="F111" s="1" t="str">
        <f>TEXT(Table1[[#This Row],[Date]],"mmmm")</f>
        <v>October</v>
      </c>
    </row>
    <row r="112" spans="1:6" x14ac:dyDescent="0.3">
      <c r="A112" s="6">
        <v>46326</v>
      </c>
      <c r="B112" s="1" t="s">
        <v>87</v>
      </c>
      <c r="C112" s="1" t="s">
        <v>46</v>
      </c>
      <c r="D112" s="1">
        <v>1100</v>
      </c>
      <c r="E112" s="7" t="s">
        <v>14</v>
      </c>
      <c r="F112" s="1" t="str">
        <f>TEXT(Table1[[#This Row],[Date]],"mmmm")</f>
        <v>October</v>
      </c>
    </row>
    <row r="113" spans="1:6" x14ac:dyDescent="0.3">
      <c r="A113" s="6">
        <v>46327</v>
      </c>
      <c r="B113" s="1" t="s">
        <v>38</v>
      </c>
      <c r="C113" s="1" t="s">
        <v>6</v>
      </c>
      <c r="D113" s="1">
        <v>525</v>
      </c>
      <c r="E113" s="7" t="s">
        <v>7</v>
      </c>
      <c r="F113" s="1" t="str">
        <f>TEXT(Table1[[#This Row],[Date]],"mmmm")</f>
        <v>November</v>
      </c>
    </row>
    <row r="114" spans="1:6" x14ac:dyDescent="0.3">
      <c r="A114" s="6">
        <v>46328</v>
      </c>
      <c r="B114" s="1" t="s">
        <v>60</v>
      </c>
      <c r="C114" s="1" t="s">
        <v>9</v>
      </c>
      <c r="D114" s="1">
        <v>1850</v>
      </c>
      <c r="E114" s="7" t="s">
        <v>14</v>
      </c>
      <c r="F114" s="1" t="str">
        <f>TEXT(Table1[[#This Row],[Date]],"mmmm")</f>
        <v>November</v>
      </c>
    </row>
    <row r="115" spans="1:6" x14ac:dyDescent="0.3">
      <c r="A115" s="6">
        <v>46329</v>
      </c>
      <c r="B115" s="1" t="s">
        <v>25</v>
      </c>
      <c r="C115" s="1" t="s">
        <v>13</v>
      </c>
      <c r="D115" s="1">
        <v>999</v>
      </c>
      <c r="E115" s="7" t="s">
        <v>20</v>
      </c>
      <c r="F115" s="1" t="str">
        <f>TEXT(Table1[[#This Row],[Date]],"mmmm")</f>
        <v>November</v>
      </c>
    </row>
    <row r="116" spans="1:6" x14ac:dyDescent="0.3">
      <c r="A116" s="6">
        <v>46330</v>
      </c>
      <c r="B116" s="1" t="s">
        <v>55</v>
      </c>
      <c r="C116" s="1" t="s">
        <v>16</v>
      </c>
      <c r="D116" s="1">
        <v>2200</v>
      </c>
      <c r="E116" s="7" t="s">
        <v>10</v>
      </c>
      <c r="F116" s="1" t="str">
        <f>TEXT(Table1[[#This Row],[Date]],"mmmm")</f>
        <v>November</v>
      </c>
    </row>
    <row r="117" spans="1:6" x14ac:dyDescent="0.3">
      <c r="A117" s="6">
        <v>46331</v>
      </c>
      <c r="B117" s="1" t="s">
        <v>88</v>
      </c>
      <c r="C117" s="1" t="s">
        <v>23</v>
      </c>
      <c r="D117" s="1">
        <v>3200</v>
      </c>
      <c r="E117" s="7" t="s">
        <v>14</v>
      </c>
      <c r="F117" s="1" t="str">
        <f>TEXT(Table1[[#This Row],[Date]],"mmmm")</f>
        <v>November</v>
      </c>
    </row>
    <row r="118" spans="1:6" x14ac:dyDescent="0.3">
      <c r="A118" s="6">
        <v>46341</v>
      </c>
      <c r="B118" s="1" t="s">
        <v>54</v>
      </c>
      <c r="C118" s="1" t="s">
        <v>13</v>
      </c>
      <c r="D118" s="1">
        <v>650</v>
      </c>
      <c r="E118" s="7" t="s">
        <v>7</v>
      </c>
      <c r="F118" s="1" t="str">
        <f>TEXT(Table1[[#This Row],[Date]],"mmmm")</f>
        <v>November</v>
      </c>
    </row>
    <row r="119" spans="1:6" x14ac:dyDescent="0.3">
      <c r="A119" s="6">
        <v>46346</v>
      </c>
      <c r="B119" s="1" t="s">
        <v>48</v>
      </c>
      <c r="C119" s="1" t="s">
        <v>6</v>
      </c>
      <c r="D119" s="1">
        <v>420</v>
      </c>
      <c r="E119" s="7" t="s">
        <v>14</v>
      </c>
      <c r="F119" s="1" t="str">
        <f>TEXT(Table1[[#This Row],[Date]],"mmmm")</f>
        <v>November</v>
      </c>
    </row>
    <row r="120" spans="1:6" x14ac:dyDescent="0.3">
      <c r="A120" s="6">
        <v>46351</v>
      </c>
      <c r="B120" s="1" t="s">
        <v>89</v>
      </c>
      <c r="C120" s="1" t="s">
        <v>46</v>
      </c>
      <c r="D120" s="1">
        <v>900</v>
      </c>
      <c r="E120" s="7" t="s">
        <v>10</v>
      </c>
      <c r="F120" s="1" t="str">
        <f>TEXT(Table1[[#This Row],[Date]],"mmmm")</f>
        <v>November</v>
      </c>
    </row>
    <row r="121" spans="1:6" x14ac:dyDescent="0.3">
      <c r="A121" s="6">
        <v>46356</v>
      </c>
      <c r="B121" s="1" t="s">
        <v>90</v>
      </c>
      <c r="C121" s="1" t="s">
        <v>9</v>
      </c>
      <c r="D121" s="1">
        <v>12500</v>
      </c>
      <c r="E121" s="7" t="s">
        <v>20</v>
      </c>
      <c r="F121" s="1" t="str">
        <f>TEXT(Table1[[#This Row],[Date]],"mmmm")</f>
        <v>November</v>
      </c>
    </row>
    <row r="122" spans="1:6" x14ac:dyDescent="0.3">
      <c r="A122" s="6">
        <v>46357</v>
      </c>
      <c r="B122" s="1" t="s">
        <v>38</v>
      </c>
      <c r="C122" s="1" t="s">
        <v>6</v>
      </c>
      <c r="D122" s="1">
        <v>540</v>
      </c>
      <c r="E122" s="7" t="s">
        <v>7</v>
      </c>
      <c r="F122" s="1" t="str">
        <f>TEXT(Table1[[#This Row],[Date]],"mmmm")</f>
        <v>December</v>
      </c>
    </row>
    <row r="123" spans="1:6" x14ac:dyDescent="0.3">
      <c r="A123" s="6">
        <v>46358</v>
      </c>
      <c r="B123" s="1" t="s">
        <v>27</v>
      </c>
      <c r="C123" s="1" t="s">
        <v>9</v>
      </c>
      <c r="D123" s="1">
        <v>720</v>
      </c>
      <c r="E123" s="7" t="s">
        <v>14</v>
      </c>
      <c r="F123" s="1" t="str">
        <f>TEXT(Table1[[#This Row],[Date]],"mmmm")</f>
        <v>December</v>
      </c>
    </row>
    <row r="124" spans="1:6" x14ac:dyDescent="0.3">
      <c r="A124" s="6">
        <v>46359</v>
      </c>
      <c r="B124" s="1" t="s">
        <v>40</v>
      </c>
      <c r="C124" s="1" t="s">
        <v>13</v>
      </c>
      <c r="D124" s="1">
        <v>1450</v>
      </c>
      <c r="E124" s="7" t="s">
        <v>20</v>
      </c>
      <c r="F124" s="1" t="str">
        <f>TEXT(Table1[[#This Row],[Date]],"mmmm")</f>
        <v>December</v>
      </c>
    </row>
    <row r="125" spans="1:6" x14ac:dyDescent="0.3">
      <c r="A125" s="6">
        <v>46360</v>
      </c>
      <c r="B125" s="1" t="s">
        <v>91</v>
      </c>
      <c r="C125" s="1" t="s">
        <v>16</v>
      </c>
      <c r="D125" s="1">
        <v>950</v>
      </c>
      <c r="E125" s="7" t="s">
        <v>10</v>
      </c>
      <c r="F125" s="1" t="str">
        <f>TEXT(Table1[[#This Row],[Date]],"mmmm")</f>
        <v>December</v>
      </c>
    </row>
    <row r="126" spans="1:6" x14ac:dyDescent="0.3">
      <c r="A126" s="6">
        <v>46361</v>
      </c>
      <c r="B126" s="1" t="s">
        <v>92</v>
      </c>
      <c r="C126" s="1" t="s">
        <v>23</v>
      </c>
      <c r="D126" s="1">
        <v>2800</v>
      </c>
      <c r="E126" s="7" t="s">
        <v>14</v>
      </c>
      <c r="F126" s="1" t="str">
        <f>TEXT(Table1[[#This Row],[Date]],"mmmm")</f>
        <v>December</v>
      </c>
    </row>
    <row r="127" spans="1:6" x14ac:dyDescent="0.3">
      <c r="A127" s="6">
        <v>46371</v>
      </c>
      <c r="B127" s="1" t="s">
        <v>42</v>
      </c>
      <c r="C127" s="1" t="s">
        <v>43</v>
      </c>
      <c r="D127" s="1">
        <v>25000</v>
      </c>
      <c r="E127" s="7" t="s">
        <v>7</v>
      </c>
      <c r="F127" s="1" t="str">
        <f>TEXT(Table1[[#This Row],[Date]],"mmmm")</f>
        <v>December</v>
      </c>
    </row>
    <row r="128" spans="1:6" x14ac:dyDescent="0.3">
      <c r="A128" s="6">
        <v>46376</v>
      </c>
      <c r="B128" s="1" t="s">
        <v>93</v>
      </c>
      <c r="C128" s="1" t="s">
        <v>6</v>
      </c>
      <c r="D128" s="1">
        <v>1100</v>
      </c>
      <c r="E128" s="7" t="s">
        <v>14</v>
      </c>
      <c r="F128" s="1" t="str">
        <f>TEXT(Table1[[#This Row],[Date]],"mmmm")</f>
        <v>December</v>
      </c>
    </row>
    <row r="129" spans="1:6" x14ac:dyDescent="0.3">
      <c r="A129" s="6">
        <v>46381</v>
      </c>
      <c r="B129" s="1" t="s">
        <v>94</v>
      </c>
      <c r="C129" s="1" t="s">
        <v>23</v>
      </c>
      <c r="D129" s="1">
        <v>4500</v>
      </c>
      <c r="E129" s="7" t="s">
        <v>7</v>
      </c>
      <c r="F129" s="1" t="str">
        <f>TEXT(Table1[[#This Row],[Date]],"mmmm")</f>
        <v>December</v>
      </c>
    </row>
    <row r="130" spans="1:6" x14ac:dyDescent="0.3">
      <c r="A130" s="8">
        <v>46387</v>
      </c>
      <c r="B130" s="3" t="s">
        <v>95</v>
      </c>
      <c r="C130" s="3" t="s">
        <v>46</v>
      </c>
      <c r="D130" s="3">
        <v>2200</v>
      </c>
      <c r="E130" s="9" t="s">
        <v>20</v>
      </c>
      <c r="F130" s="3" t="str">
        <f>TEXT(Table1[[#This Row],[Date]],"mmmm")</f>
        <v>December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39BB-E9F0-444A-A35E-EECBFED87BBE}">
  <dimension ref="A1:A8"/>
  <sheetViews>
    <sheetView workbookViewId="0">
      <selection activeCell="B10" sqref="B10"/>
    </sheetView>
  </sheetViews>
  <sheetFormatPr defaultRowHeight="14.4" x14ac:dyDescent="0.3"/>
  <cols>
    <col min="1" max="1" width="31.33203125" customWidth="1"/>
    <col min="2" max="2" width="25.21875" customWidth="1"/>
  </cols>
  <sheetData>
    <row r="1" spans="1:1" x14ac:dyDescent="0.3">
      <c r="A1" t="s">
        <v>39</v>
      </c>
    </row>
    <row r="2" spans="1:1" x14ac:dyDescent="0.3">
      <c r="A2" t="str" cm="1">
        <f t="array" ref="A2:A8">_xlfn.UNIQUE(Table1[Category])</f>
        <v>Food</v>
      </c>
    </row>
    <row r="3" spans="1:1" x14ac:dyDescent="0.3">
      <c r="A3" t="str">
        <v>Travel</v>
      </c>
    </row>
    <row r="4" spans="1:1" x14ac:dyDescent="0.3">
      <c r="A4" t="str">
        <v>Utilities</v>
      </c>
    </row>
    <row r="5" spans="1:1" x14ac:dyDescent="0.3">
      <c r="A5" t="str">
        <v>Entertainment</v>
      </c>
    </row>
    <row r="6" spans="1:1" x14ac:dyDescent="0.3">
      <c r="A6" t="str">
        <v>Shopping</v>
      </c>
    </row>
    <row r="7" spans="1:1" x14ac:dyDescent="0.3">
      <c r="A7" t="str">
        <v>Healthcare</v>
      </c>
    </row>
    <row r="8" spans="1:1" x14ac:dyDescent="0.3">
      <c r="A8" t="str">
        <v>Housing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5A60-C1D4-4B73-9BE7-08404BC9F3C2}">
  <dimension ref="A1:A5"/>
  <sheetViews>
    <sheetView tabSelected="1" workbookViewId="0">
      <selection activeCell="A3" sqref="A3"/>
    </sheetView>
  </sheetViews>
  <sheetFormatPr defaultRowHeight="14.4" x14ac:dyDescent="0.3"/>
  <cols>
    <col min="1" max="1" width="13.44140625" bestFit="1" customWidth="1"/>
  </cols>
  <sheetData>
    <row r="1" spans="1:1" x14ac:dyDescent="0.3">
      <c r="A1" t="s">
        <v>97</v>
      </c>
    </row>
    <row r="2" spans="1:1" x14ac:dyDescent="0.3">
      <c r="A2" t="str" cm="1">
        <f t="array" ref="A2:A5">_xlfn.UNIQUE(Table1[Payment_Mode])</f>
        <v>UPI</v>
      </c>
    </row>
    <row r="3" spans="1:1" x14ac:dyDescent="0.3">
      <c r="A3" t="str">
        <v>Cash</v>
      </c>
    </row>
    <row r="4" spans="1:1" x14ac:dyDescent="0.3">
      <c r="A4" t="str">
        <v>Card</v>
      </c>
    </row>
    <row r="5" spans="1:1" x14ac:dyDescent="0.3">
      <c r="A5" t="str">
        <v>NetBanking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tblExpense</vt:lpstr>
      <vt:lpstr>Category_List</vt:lpstr>
      <vt:lpstr>Payment_mode_List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dcterms:created xsi:type="dcterms:W3CDTF">2026-02-11T13:22:48Z</dcterms:created>
  <dcterms:modified xsi:type="dcterms:W3CDTF">2026-02-11T20:25:34Z</dcterms:modified>
</cp:coreProperties>
</file>