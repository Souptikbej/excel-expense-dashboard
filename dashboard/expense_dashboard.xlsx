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excel\Expense-Tracker-Excel\dashboard\"/>
    </mc:Choice>
  </mc:AlternateContent>
  <xr:revisionPtr revIDLastSave="0" documentId="13_ncr:1_{A7386A14-DDE9-4B20-A5B8-C1C0B0667C0B}" xr6:coauthVersionLast="47" xr6:coauthVersionMax="47" xr10:uidLastSave="{00000000-0000-0000-0000-000000000000}"/>
  <bookViews>
    <workbookView xWindow="-108" yWindow="-108" windowWidth="23256" windowHeight="12456" activeTab="4" xr2:uid="{62186D2F-D12C-4298-B2DB-6D04C6404429}"/>
  </bookViews>
  <sheets>
    <sheet name="Category_List" sheetId="2" r:id="rId1"/>
    <sheet name="Payment_mode_List" sheetId="3" r:id="rId2"/>
    <sheet name="tblExpense" sheetId="4" r:id="rId3"/>
    <sheet name="Sheet1" sheetId="1" r:id="rId4"/>
    <sheet name="Sheet2" sheetId="5" r:id="rId5"/>
  </sheets>
  <definedNames>
    <definedName name="ExternalData_1" localSheetId="0" hidden="1">'Category_List'!$A$1:$A$8</definedName>
    <definedName name="ExternalData_2" localSheetId="1" hidden="1">Payment_mode_List!$A$1:$A$5</definedName>
    <definedName name="ExternalData_3" localSheetId="2" hidden="1">tblExpense!$A$1:$G$130</definedName>
    <definedName name="Slicer_Category">#N/A</definedName>
    <definedName name="Slicer_month">#N/A</definedName>
    <definedName name="Slicer_Payment_Mode">#N/A</definedName>
  </definedNames>
  <calcPr calcId="191029"/>
  <pivotCaches>
    <pivotCache cacheId="1566" r:id="rId6"/>
    <pivotCache cacheId="1626" r:id="rId7"/>
    <pivotCache cacheId="1641" r:id="rId8"/>
    <pivotCache cacheId="1644" r:id="rId9"/>
    <pivotCache cacheId="1647" r:id="rId10"/>
    <pivotCache cacheId="1650" r:id="rId11"/>
  </pivotCaches>
  <extLst>
    <ext xmlns:x14="http://schemas.microsoft.com/office/spreadsheetml/2009/9/main" uri="{876F7934-8845-4945-9796-88D515C7AA90}">
      <x14:pivotCaches>
        <pivotCache cacheId="6"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tegory_List_4b0771e2-41c4-437c-93fd-e3a4786fbeca" name="Category_List" connection="Query - Category_List"/>
          <x15:modelTable id="Payment_mode_List_3a1b49be-c4a3-42cd-8cce-59a043c08e13" name="Payment_mode_List" connection="Query - Payment_mode_List"/>
          <x15:modelTable id="tblExpense_d7f74b49-33a2-4e01-b52e-2c0219250600" name="tblExpense" connection="Query - tblExpense"/>
        </x15:modelTables>
        <x15:modelRelationships>
          <x15:modelRelationship fromTable="tblExpense" fromColumn="Category" toTable="Category_List" toColumn="Categories"/>
          <x15:modelRelationship fromTable="tblExpense" fromColumn="Payment_Mode" toTable="Payment_mode_List" toColumn="Payment Mod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9C1922-98F6-44F0-B2C8-6B29BD14B1CD}" keepAlive="1" name="ModelConnection_ExternalData_1" description="Data Model" type="5" refreshedVersion="8" minRefreshableVersion="5" saveData="1">
    <dbPr connection="Data Model Connection" command="Category_List" commandType="3"/>
    <extLst>
      <ext xmlns:x15="http://schemas.microsoft.com/office/spreadsheetml/2010/11/main" uri="{DE250136-89BD-433C-8126-D09CA5730AF9}">
        <x15:connection id="" model="1"/>
      </ext>
    </extLst>
  </connection>
  <connection id="2" xr16:uid="{A5F25C4D-735F-4F28-82BA-17F9CF0331E4}" keepAlive="1" name="ModelConnection_ExternalData_2" description="Data Model" type="5" refreshedVersion="8" minRefreshableVersion="5" saveData="1">
    <dbPr connection="Data Model Connection" command="Payment_mode_List" commandType="3"/>
    <extLst>
      <ext xmlns:x15="http://schemas.microsoft.com/office/spreadsheetml/2010/11/main" uri="{DE250136-89BD-433C-8126-D09CA5730AF9}">
        <x15:connection id="" model="1"/>
      </ext>
    </extLst>
  </connection>
  <connection id="3" xr16:uid="{0961AF06-5A79-47FE-A2EE-A3296C379FEE}" keepAlive="1" name="ModelConnection_ExternalData_3" description="Data Model" type="5" refreshedVersion="8" minRefreshableVersion="5" saveData="1">
    <dbPr connection="Data Model Connection" command="tblExpense" commandType="3"/>
    <extLst>
      <ext xmlns:x15="http://schemas.microsoft.com/office/spreadsheetml/2010/11/main" uri="{DE250136-89BD-433C-8126-D09CA5730AF9}">
        <x15:connection id="" model="1"/>
      </ext>
    </extLst>
  </connection>
  <connection id="4" xr16:uid="{E0A1B351-7DA5-4AB8-8B50-8A33D17C6945}" name="Query - Category_List" description="Connection to the 'Category_List' query in the workbook." type="100" refreshedVersion="8" minRefreshableVersion="5">
    <extLst>
      <ext xmlns:x15="http://schemas.microsoft.com/office/spreadsheetml/2010/11/main" uri="{DE250136-89BD-433C-8126-D09CA5730AF9}">
        <x15:connection id="268e22da-4418-4f04-82fa-6a6cc30a9f0f"/>
      </ext>
    </extLst>
  </connection>
  <connection id="5" xr16:uid="{495E3906-A373-42BC-AC73-7C954825EBB3}" name="Query - Payment_mode_List" description="Connection to the 'Payment_mode_List' query in the workbook." type="100" refreshedVersion="8" minRefreshableVersion="5">
    <extLst>
      <ext xmlns:x15="http://schemas.microsoft.com/office/spreadsheetml/2010/11/main" uri="{DE250136-89BD-433C-8126-D09CA5730AF9}">
        <x15:connection id="d1dae369-25ac-415e-8334-f1ce43864813"/>
      </ext>
    </extLst>
  </connection>
  <connection id="6" xr16:uid="{8F50883B-6AE7-4583-8F5E-21C5901ACCC1}" name="Query - tblExpense" description="Connection to the 'tblExpense' query in the workbook." type="100" refreshedVersion="8" minRefreshableVersion="5">
    <extLst>
      <ext xmlns:x15="http://schemas.microsoft.com/office/spreadsheetml/2010/11/main" uri="{DE250136-89BD-433C-8126-D09CA5730AF9}">
        <x15:connection id="6a74d8e1-039c-48b7-836c-652ea063d390"/>
      </ext>
    </extLst>
  </connection>
  <connection id="7" xr16:uid="{D566BA9B-6F6C-4BEA-82BB-758D046ED43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<sst xmlns="http://schemas.openxmlformats.org/spreadsheetml/2006/main" count="583" uniqueCount="119">
  <si>
    <t>Categories</t>
  </si>
  <si>
    <t>Food</t>
  </si>
  <si>
    <t>Travel</t>
  </si>
  <si>
    <t>Utilities</t>
  </si>
  <si>
    <t>Entertainment</t>
  </si>
  <si>
    <t>Shopping</t>
  </si>
  <si>
    <t>Healthcare</t>
  </si>
  <si>
    <t>Housing</t>
  </si>
  <si>
    <t>Payment Mode</t>
  </si>
  <si>
    <t>UPI</t>
  </si>
  <si>
    <t>Cash</t>
  </si>
  <si>
    <t>Card</t>
  </si>
  <si>
    <t>NetBanking</t>
  </si>
  <si>
    <t>Date</t>
  </si>
  <si>
    <t>Description</t>
  </si>
  <si>
    <t>Category</t>
  </si>
  <si>
    <t>Amount</t>
  </si>
  <si>
    <t>Payment_Mode</t>
  </si>
  <si>
    <t>month</t>
  </si>
  <si>
    <t>Day</t>
  </si>
  <si>
    <t>Milk &amp; Bread</t>
  </si>
  <si>
    <t>January</t>
  </si>
  <si>
    <t>Bus Ticket</t>
  </si>
  <si>
    <t>Lunch</t>
  </si>
  <si>
    <t>Mobile Recharge</t>
  </si>
  <si>
    <t>Movie Ticket</t>
  </si>
  <si>
    <t>Vegetables</t>
  </si>
  <si>
    <t>Office Cab</t>
  </si>
  <si>
    <t>Electricity Bill</t>
  </si>
  <si>
    <t>Grocery Shopping</t>
  </si>
  <si>
    <t>Clothes</t>
  </si>
  <si>
    <t>Coffee</t>
  </si>
  <si>
    <t>Internet Bill</t>
  </si>
  <si>
    <t>Restaurant</t>
  </si>
  <si>
    <t>Petrol</t>
  </si>
  <si>
    <t>Stationery</t>
  </si>
  <si>
    <t>Groceries</t>
  </si>
  <si>
    <t>OTT Subscription</t>
  </si>
  <si>
    <t>Water Bill</t>
  </si>
  <si>
    <t>Snacks</t>
  </si>
  <si>
    <t>Metro Card</t>
  </si>
  <si>
    <t>Shoes</t>
  </si>
  <si>
    <t>Cinema</t>
  </si>
  <si>
    <t>Fuel</t>
  </si>
  <si>
    <t>Dinner Out</t>
  </si>
  <si>
    <t>Grocery</t>
  </si>
  <si>
    <t>February</t>
  </si>
  <si>
    <t>Movie</t>
  </si>
  <si>
    <t>Spotify</t>
  </si>
  <si>
    <t>Lunch Out</t>
  </si>
  <si>
    <t>Medicine</t>
  </si>
  <si>
    <t>March</t>
  </si>
  <si>
    <t>Gas Cylinder</t>
  </si>
  <si>
    <t>Amazon Prime</t>
  </si>
  <si>
    <t>Office Lunch</t>
  </si>
  <si>
    <t>Dental Checkup</t>
  </si>
  <si>
    <t>April</t>
  </si>
  <si>
    <t>Auto Rickshaw</t>
  </si>
  <si>
    <t>Maintenance</t>
  </si>
  <si>
    <t>Concert</t>
  </si>
  <si>
    <t>Jeans</t>
  </si>
  <si>
    <t>Rent</t>
  </si>
  <si>
    <t>YouTube Premium</t>
  </si>
  <si>
    <t>Breakfast Out</t>
  </si>
  <si>
    <t>Glasses</t>
  </si>
  <si>
    <t>May</t>
  </si>
  <si>
    <t>Train Ticket</t>
  </si>
  <si>
    <t>Netflix Party</t>
  </si>
  <si>
    <t>Watch</t>
  </si>
  <si>
    <t>House Cleaning</t>
  </si>
  <si>
    <t>Ola Cab</t>
  </si>
  <si>
    <t>Physiotherapy</t>
  </si>
  <si>
    <t>June</t>
  </si>
  <si>
    <t>Theme Park</t>
  </si>
  <si>
    <t>Sunglasses</t>
  </si>
  <si>
    <t>Grofers</t>
  </si>
  <si>
    <t>Team Dinner</t>
  </si>
  <si>
    <t>Vaccination</t>
  </si>
  <si>
    <t>July</t>
  </si>
  <si>
    <t>Bus Pass</t>
  </si>
  <si>
    <t>Electricity</t>
  </si>
  <si>
    <t>Standup Comedy</t>
  </si>
  <si>
    <t>Tshirt</t>
  </si>
  <si>
    <t>Car Service</t>
  </si>
  <si>
    <t>August</t>
  </si>
  <si>
    <t>Ola Outstation</t>
  </si>
  <si>
    <t>Pub Night</t>
  </si>
  <si>
    <t>Bag</t>
  </si>
  <si>
    <t>Zomato</t>
  </si>
  <si>
    <t>Swiggy</t>
  </si>
  <si>
    <t>Eye Test</t>
  </si>
  <si>
    <t>September</t>
  </si>
  <si>
    <t>Gas Bill</t>
  </si>
  <si>
    <t>Wallet</t>
  </si>
  <si>
    <t>House Painting</t>
  </si>
  <si>
    <t>Office Party</t>
  </si>
  <si>
    <t>Blood Test</t>
  </si>
  <si>
    <t>October</t>
  </si>
  <si>
    <t>Art Exhibition</t>
  </si>
  <si>
    <t>Perfume</t>
  </si>
  <si>
    <t>Dental Cleaning</t>
  </si>
  <si>
    <t>November</t>
  </si>
  <si>
    <t>Coat</t>
  </si>
  <si>
    <t>Physio Session</t>
  </si>
  <si>
    <t>Car Insurance</t>
  </si>
  <si>
    <t>December</t>
  </si>
  <si>
    <t>New Year Party</t>
  </si>
  <si>
    <t>Gift</t>
  </si>
  <si>
    <t>Family Dinner</t>
  </si>
  <si>
    <t>Christmas Shopping</t>
  </si>
  <si>
    <t>Year End Medical</t>
  </si>
  <si>
    <t>Sum of Amount</t>
  </si>
  <si>
    <t>Total Expense</t>
  </si>
  <si>
    <t>Average of Amount</t>
  </si>
  <si>
    <t>Row Labels</t>
  </si>
  <si>
    <t>Grand Total</t>
  </si>
  <si>
    <t>Highest Spending Category</t>
  </si>
  <si>
    <t>Automated Expense Tracking Dashboard</t>
  </si>
  <si>
    <t>Filters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</si>
</sst>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quot;₹&quot;\ #,##0.00;[Red]&quot;₹&quot;\ #,##0.00"/>
  </numFmts>
  <fonts count="5"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24"/>
      <color theme="1"/>
      <name val="Century"/>
      <family val="1"/>
    </font>
  </fonts>
  <fills count="5">
    <fill>
      <patternFill patternType="none"/>
    </fill>
    <fill>
      <patternFill patternType="gray125"/>
    </fill>
    <fill>
      <patternFill patternType="solid">
        <fgColor theme="4" tint="0.59999389629810485"/>
        <bgColor indexed="65"/>
      </patternFill>
    </fill>
    <fill>
      <patternFill patternType="solid">
        <fgColor rgb="FF002060"/>
        <bgColor indexed="64"/>
      </patternFill>
    </fill>
    <fill>
      <patternFill patternType="solid">
        <fgColor theme="4" tint="0.79998168889431442"/>
        <bgColor indexed="64"/>
      </patternFill>
    </fill>
  </fills>
  <borders count="3">
    <border>
      <left/>
      <right/>
      <top/>
      <bottom/>
      <diagonal/>
    </border>
    <border>
      <left/>
      <right/>
      <top/>
      <bottom style="medium">
        <color theme="1"/>
      </bottom>
      <diagonal/>
    </border>
    <border>
      <left/>
      <right style="thick">
        <color theme="1"/>
      </right>
      <top/>
      <bottom/>
      <diagonal/>
    </border>
  </borders>
  <cellStyleXfs count="2">
    <xf numFmtId="0" fontId="0" fillId="0" borderId="0"/>
    <xf numFmtId="0" fontId="1" fillId="2" borderId="0" applyNumberFormat="0" applyBorder="0" applyAlignment="0" applyProtection="0"/>
  </cellStyleXfs>
  <cellXfs count="14">
    <xf numFmtId="0" fontId="0" fillId="0" borderId="0" xfId="0"/>
    <xf numFmtId="14" fontId="2" fillId="3" borderId="0" xfId="0" applyNumberFormat="1" applyFont="1" applyFill="1"/>
    <xf numFmtId="0" fontId="2" fillId="3" borderId="0" xfId="0" applyFont="1" applyFill="1"/>
    <xf numFmtId="0" fontId="0" fillId="0" borderId="0" xfId="0" pivotButton="1"/>
    <xf numFmtId="0" fontId="0" fillId="0" borderId="0" xfId="0" applyAlignment="1">
      <alignment horizontal="left"/>
    </xf>
    <xf numFmtId="0" fontId="3" fillId="2" borderId="0" xfId="1" applyFont="1"/>
    <xf numFmtId="164" fontId="0" fillId="0" borderId="0" xfId="0" applyNumberFormat="1"/>
    <xf numFmtId="0" fontId="0" fillId="4" borderId="0" xfId="0" applyFill="1"/>
    <xf numFmtId="0" fontId="0" fillId="4" borderId="2" xfId="0" applyFill="1" applyBorder="1"/>
    <xf numFmtId="44" fontId="0" fillId="0" borderId="0" xfId="0" applyNumberFormat="1"/>
    <xf numFmtId="0" fontId="4" fillId="4" borderId="0" xfId="0" applyFont="1" applyFill="1" applyAlignment="1">
      <alignment horizontal="center" vertical="center"/>
    </xf>
    <xf numFmtId="0" fontId="0" fillId="4" borderId="0" xfId="0" applyFill="1" applyAlignment="1">
      <alignment horizontal="center" vertical="center"/>
    </xf>
    <xf numFmtId="0" fontId="0" fillId="4" borderId="1" xfId="0" applyFill="1" applyBorder="1" applyAlignment="1">
      <alignment horizontal="center" vertical="center"/>
    </xf>
    <xf numFmtId="0" fontId="4" fillId="4" borderId="1" xfId="0" applyFont="1" applyFill="1" applyBorder="1" applyAlignment="1">
      <alignment horizontal="center" vertical="center"/>
    </xf>
  </cellXfs>
  <cellStyles count="2">
    <cellStyle name="40% - Accent1" xfId="1" builtinId="31"/>
    <cellStyle name="Normal" xfId="0" builtinId="0"/>
  </cellStyles>
  <dxfs count="14">
    <dxf>
      <font>
        <b/>
        <strike val="0"/>
        <outline val="0"/>
        <shadow val="0"/>
        <u val="none"/>
        <vertAlign val="baseline"/>
        <sz val="11"/>
        <color theme="0"/>
        <name val="Calibri"/>
        <family val="2"/>
        <scheme val="minor"/>
      </font>
      <fill>
        <patternFill patternType="solid">
          <fgColor indexed="64"/>
          <bgColor rgb="FF002060"/>
        </patternFill>
      </fill>
    </dxf>
    <dxf>
      <font>
        <b/>
        <strike val="0"/>
        <outline val="0"/>
        <shadow val="0"/>
        <u val="none"/>
        <vertAlign val="baseline"/>
        <sz val="11"/>
        <color theme="0"/>
        <name val="Calibri"/>
        <family val="2"/>
        <scheme val="minor"/>
      </font>
      <numFmt numFmtId="0" formatCode="General"/>
      <fill>
        <patternFill patternType="solid">
          <fgColor indexed="64"/>
          <bgColor rgb="FF002060"/>
        </patternFill>
      </fill>
    </dxf>
    <dxf>
      <font>
        <b/>
        <strike val="0"/>
        <outline val="0"/>
        <shadow val="0"/>
        <u val="none"/>
        <vertAlign val="baseline"/>
        <sz val="11"/>
        <color theme="0"/>
        <name val="Calibri"/>
        <family val="2"/>
        <scheme val="minor"/>
      </font>
      <numFmt numFmtId="0" formatCode="General"/>
      <fill>
        <patternFill patternType="solid">
          <fgColor indexed="64"/>
          <bgColor rgb="FF002060"/>
        </patternFill>
      </fill>
    </dxf>
    <dxf>
      <font>
        <b/>
        <strike val="0"/>
        <outline val="0"/>
        <shadow val="0"/>
        <u val="none"/>
        <vertAlign val="baseline"/>
        <sz val="11"/>
        <color theme="0"/>
        <name val="Calibri"/>
        <family val="2"/>
        <scheme val="minor"/>
      </font>
      <fill>
        <patternFill patternType="solid">
          <fgColor indexed="64"/>
          <bgColor rgb="FF002060"/>
        </patternFill>
      </fill>
    </dxf>
    <dxf>
      <font>
        <b/>
        <strike val="0"/>
        <outline val="0"/>
        <shadow val="0"/>
        <u val="none"/>
        <vertAlign val="baseline"/>
        <sz val="11"/>
        <color theme="0"/>
        <name val="Calibri"/>
        <family val="2"/>
        <scheme val="minor"/>
      </font>
      <numFmt numFmtId="0" formatCode="General"/>
      <fill>
        <patternFill patternType="solid">
          <fgColor indexed="64"/>
          <bgColor rgb="FF002060"/>
        </patternFill>
      </fill>
    </dxf>
    <dxf>
      <font>
        <b/>
        <strike val="0"/>
        <outline val="0"/>
        <shadow val="0"/>
        <u val="none"/>
        <vertAlign val="baseline"/>
        <sz val="11"/>
        <color theme="0"/>
        <name val="Calibri"/>
        <family val="2"/>
        <scheme val="minor"/>
      </font>
      <numFmt numFmtId="0" formatCode="General"/>
      <fill>
        <patternFill patternType="solid">
          <fgColor indexed="64"/>
          <bgColor rgb="FF002060"/>
        </patternFill>
      </fill>
    </dxf>
    <dxf>
      <font>
        <b/>
        <strike val="0"/>
        <outline val="0"/>
        <shadow val="0"/>
        <u val="none"/>
        <vertAlign val="baseline"/>
        <sz val="11"/>
        <color theme="0"/>
        <name val="Calibri"/>
        <family val="2"/>
        <scheme val="minor"/>
      </font>
      <numFmt numFmtId="19" formatCode="dd/mm/yyyy"/>
      <fill>
        <patternFill patternType="solid">
          <fgColor indexed="64"/>
          <bgColor rgb="FF002060"/>
        </patternFill>
      </fill>
    </dxf>
    <dxf>
      <font>
        <b/>
        <strike val="0"/>
        <outline val="0"/>
        <shadow val="0"/>
        <u val="none"/>
        <vertAlign val="baseline"/>
        <sz val="11"/>
        <color theme="0"/>
        <name val="Calibri"/>
        <family val="2"/>
        <scheme val="minor"/>
      </font>
      <fill>
        <patternFill patternType="solid">
          <fgColor indexed="64"/>
          <bgColor rgb="FF002060"/>
        </patternFill>
      </fill>
    </dxf>
    <dxf>
      <font>
        <b/>
        <strike val="0"/>
        <outline val="0"/>
        <shadow val="0"/>
        <u val="none"/>
        <vertAlign val="baseline"/>
        <sz val="11"/>
        <color theme="0"/>
        <name val="Calibri"/>
        <family val="2"/>
        <scheme val="minor"/>
      </font>
      <numFmt numFmtId="0" formatCode="General"/>
      <fill>
        <patternFill patternType="solid">
          <fgColor indexed="64"/>
          <bgColor rgb="FF002060"/>
        </patternFill>
      </fill>
    </dxf>
    <dxf>
      <font>
        <b/>
        <strike val="0"/>
        <outline val="0"/>
        <shadow val="0"/>
        <u val="none"/>
        <vertAlign val="baseline"/>
        <sz val="11"/>
        <color theme="0"/>
        <name val="Calibri"/>
        <family val="2"/>
        <scheme val="minor"/>
      </font>
      <fill>
        <patternFill patternType="solid">
          <fgColor indexed="64"/>
          <bgColor rgb="FF002060"/>
        </patternFill>
      </fill>
    </dxf>
    <dxf>
      <font>
        <b/>
        <strike val="0"/>
        <outline val="0"/>
        <shadow val="0"/>
        <u val="none"/>
        <vertAlign val="baseline"/>
        <sz val="11"/>
        <color theme="0"/>
        <name val="Calibri"/>
        <family val="2"/>
        <scheme val="minor"/>
      </font>
      <fill>
        <patternFill patternType="solid">
          <fgColor indexed="64"/>
          <bgColor rgb="FF002060"/>
        </patternFill>
      </fill>
    </dxf>
    <dxf>
      <font>
        <b/>
        <strike val="0"/>
        <outline val="0"/>
        <shadow val="0"/>
        <u val="none"/>
        <vertAlign val="baseline"/>
        <sz val="11"/>
        <color theme="0"/>
        <name val="Calibri"/>
        <family val="2"/>
        <scheme val="minor"/>
      </font>
      <numFmt numFmtId="0" formatCode="General"/>
      <fill>
        <patternFill patternType="solid">
          <fgColor indexed="64"/>
          <bgColor rgb="FF002060"/>
        </patternFill>
      </fill>
    </dxf>
    <dxf>
      <font>
        <b/>
        <strike val="0"/>
        <outline val="0"/>
        <shadow val="0"/>
        <u val="none"/>
        <vertAlign val="baseline"/>
        <sz val="11"/>
        <color theme="0"/>
        <name val="Calibri"/>
        <family val="2"/>
        <scheme val="minor"/>
      </font>
      <fill>
        <patternFill patternType="solid">
          <fgColor indexed="64"/>
          <bgColor rgb="FF002060"/>
        </patternFill>
      </fill>
    </dxf>
    <dxf>
      <font>
        <b/>
        <strike val="0"/>
        <outline val="0"/>
        <shadow val="0"/>
        <u val="none"/>
        <vertAlign val="baseline"/>
        <sz val="11"/>
        <color theme="0"/>
        <name val="Calibri"/>
        <family val="2"/>
        <scheme val="minor"/>
      </font>
      <fill>
        <patternFill patternType="solid">
          <fgColor indexed="64"/>
          <bgColor rgb="FF00206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5.xml"/><Relationship Id="rId19" Type="http://schemas.openxmlformats.org/officeDocument/2006/relationships/sharedStrings" Target="sharedStrings.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2.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[expense_dashboard.xlsx]Sheet1!PivotTable3</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doughnutChart>
        <c:varyColors val="1"/>
        <c:ser>
          <c:idx val="0"/>
          <c:order val="0"/>
          <c:tx>
            <c:strRef>
              <c:f>Sheet1!$G$16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cat>
            <c:strRef>
              <c:f>Sheet1!$F$17:$F$24</c:f>
              <c:strCache>
                <c:ptCount val="7"/>
                <c:pt idx="0">
                  <c:v>Entertainment</c:v>
                </c:pt>
                <c:pt idx="1">
                  <c:v>Food</c:v>
                </c:pt>
                <c:pt idx="2">
                  <c:v>Healthcare</c:v>
                </c:pt>
                <c:pt idx="3">
                  <c:v>Housing</c:v>
                </c:pt>
                <c:pt idx="4">
                  <c:v>Shopping</c:v>
                </c:pt>
                <c:pt idx="5">
                  <c:v>Travel</c:v>
                </c:pt>
                <c:pt idx="6">
                  <c:v>Utilities</c:v>
                </c:pt>
              </c:strCache>
            </c:strRef>
          </c:cat>
          <c:val>
            <c:numRef>
              <c:f>Sheet1!$G$17:$G$24</c:f>
              <c:numCache>
                <c:formatCode>"₹"\ #,##0.00;[Red]"₹"\ #,##0.00</c:formatCode>
                <c:ptCount val="7"/>
                <c:pt idx="0">
                  <c:v>13385</c:v>
                </c:pt>
                <c:pt idx="1">
                  <c:v>15520</c:v>
                </c:pt>
                <c:pt idx="2">
                  <c:v>13030</c:v>
                </c:pt>
                <c:pt idx="3">
                  <c:v>131250</c:v>
                </c:pt>
                <c:pt idx="4">
                  <c:v>30350</c:v>
                </c:pt>
                <c:pt idx="5">
                  <c:v>26970</c:v>
                </c:pt>
                <c:pt idx="6">
                  <c:v>14810</c:v>
                </c:pt>
              </c:numCache>
            </c:numRef>
          </c:val>
          <c:extLst>
            <c:ext xmlns:c16="http://schemas.microsoft.com/office/drawing/2014/chart" uri="{C3380CC4-5D6E-409C-BE32-E72D297353CC}">
              <c16:uniqueId val="{00000017-B93E-41CB-8D0A-CB7C29299A3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[expense_dashboard.xlsx]Sheet1!PivotTable4</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Sheet1!$G$29</c:f>
              <c:strCache>
                <c:ptCount val="1"/>
                <c:pt idx="0">
                  <c:v>Total</c:v>
                </c:pt>
              </c:strCache>
            </c:strRef>
          </c:tx>
          <c:spPr>
            <a:solidFill>
              <a:schemeClr val="accent1"/>
            </a:solidFill>
            <a:ln>
              <a:noFill/>
            </a:ln>
            <a:effectLst/>
          </c:spPr>
          <c:invertIfNegative val="0"/>
          <c:cat>
            <c:strRef>
              <c:f>Sheet1!$F$30:$F$34</c:f>
              <c:strCache>
                <c:ptCount val="4"/>
                <c:pt idx="0">
                  <c:v>Card</c:v>
                </c:pt>
                <c:pt idx="1">
                  <c:v>Cash</c:v>
                </c:pt>
                <c:pt idx="2">
                  <c:v>NetBanking</c:v>
                </c:pt>
                <c:pt idx="3">
                  <c:v>UPI</c:v>
                </c:pt>
              </c:strCache>
            </c:strRef>
          </c:cat>
          <c:val>
            <c:numRef>
              <c:f>Sheet1!$G$30:$G$34</c:f>
              <c:numCache>
                <c:formatCode>"₹"\ #,##0.00;[Red]"₹"\ #,##0.00</c:formatCode>
                <c:ptCount val="4"/>
                <c:pt idx="0">
                  <c:v>53512</c:v>
                </c:pt>
                <c:pt idx="1">
                  <c:v>14920</c:v>
                </c:pt>
                <c:pt idx="2">
                  <c:v>78265</c:v>
                </c:pt>
                <c:pt idx="3">
                  <c:v>98618</c:v>
                </c:pt>
              </c:numCache>
            </c:numRef>
          </c:val>
          <c:extLst>
            <c:ext xmlns:c16="http://schemas.microsoft.com/office/drawing/2014/chart" uri="{C3380CC4-5D6E-409C-BE32-E72D297353CC}">
              <c16:uniqueId val="{00000000-08A8-45D4-9BDE-3222A8CFD14B}"/>
            </c:ext>
          </c:extLst>
        </c:ser>
        <c:dLbls>
          <c:showLegendKey val="0"/>
          <c:showVal val="0"/>
          <c:showCatName val="0"/>
          <c:showSerName val="0"/>
          <c:showPercent val="0"/>
          <c:showBubbleSize val="0"/>
        </c:dLbls>
        <c:gapWidth val="182"/>
        <c:axId val="785444447"/>
        <c:axId val="785442047"/>
      </c:barChart>
      <c:catAx>
        <c:axId val="785444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442047"/>
        <c:crosses val="autoZero"/>
        <c:auto val="1"/>
        <c:lblAlgn val="ctr"/>
        <c:lblOffset val="100"/>
        <c:noMultiLvlLbl val="0"/>
      </c:catAx>
      <c:valAx>
        <c:axId val="785442047"/>
        <c:scaling>
          <c:orientation val="minMax"/>
        </c:scaling>
        <c:delete val="1"/>
        <c:axPos val="b"/>
        <c:majorGridlines>
          <c:spPr>
            <a:ln w="9525" cap="flat" cmpd="sng" algn="ctr">
              <a:solidFill>
                <a:schemeClr val="tx1">
                  <a:lumMod val="15000"/>
                  <a:lumOff val="85000"/>
                </a:schemeClr>
              </a:solidFill>
              <a:round/>
            </a:ln>
            <a:effectLst/>
          </c:spPr>
        </c:majorGridlines>
        <c:numFmt formatCode="&quot;₹&quot;\ #,##0.00;[Red]&quot;₹&quot;\ #,##0.00" sourceLinked="1"/>
        <c:majorTickMark val="none"/>
        <c:minorTickMark val="none"/>
        <c:tickLblPos val="nextTo"/>
        <c:crossAx val="785444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[expense_dashboard.xlsx]Sheet1!PivotTable5</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Sheet1!$G$40</c:f>
              <c:strCache>
                <c:ptCount val="1"/>
                <c:pt idx="0">
                  <c:v>Total</c:v>
                </c:pt>
              </c:strCache>
            </c:strRef>
          </c:tx>
          <c:spPr>
            <a:solidFill>
              <a:schemeClr val="accent1"/>
            </a:solidFill>
            <a:ln>
              <a:noFill/>
            </a:ln>
            <a:effectLst/>
          </c:spPr>
          <c:invertIfNegative val="0"/>
          <c:cat>
            <c:strRef>
              <c:f>Sheet1!$F$41:$F$53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Sheet1!$G$41:$G$53</c:f>
              <c:numCache>
                <c:formatCode>"₹"\ #,##0.00;[Red]"₹"\ #,##0.00</c:formatCode>
                <c:ptCount val="12"/>
                <c:pt idx="0">
                  <c:v>14366</c:v>
                </c:pt>
                <c:pt idx="1">
                  <c:v>5108</c:v>
                </c:pt>
                <c:pt idx="2">
                  <c:v>6528</c:v>
                </c:pt>
                <c:pt idx="3">
                  <c:v>33699</c:v>
                </c:pt>
                <c:pt idx="4">
                  <c:v>10498</c:v>
                </c:pt>
                <c:pt idx="5">
                  <c:v>31269</c:v>
                </c:pt>
                <c:pt idx="6">
                  <c:v>8844</c:v>
                </c:pt>
                <c:pt idx="7">
                  <c:v>32880</c:v>
                </c:pt>
                <c:pt idx="8">
                  <c:v>9680</c:v>
                </c:pt>
                <c:pt idx="9">
                  <c:v>29939</c:v>
                </c:pt>
                <c:pt idx="10">
                  <c:v>23244</c:v>
                </c:pt>
                <c:pt idx="11">
                  <c:v>39260</c:v>
                </c:pt>
              </c:numCache>
            </c:numRef>
          </c:val>
          <c:extLst>
            <c:ext xmlns:c16="http://schemas.microsoft.com/office/drawing/2014/chart" uri="{C3380CC4-5D6E-409C-BE32-E72D297353CC}">
              <c16:uniqueId val="{00000001-CB76-401B-AC70-FDB1CBA6814B}"/>
            </c:ext>
          </c:extLst>
        </c:ser>
        <c:dLbls>
          <c:showLegendKey val="0"/>
          <c:showVal val="0"/>
          <c:showCatName val="0"/>
          <c:showSerName val="0"/>
          <c:showPercent val="0"/>
          <c:showBubbleSize val="0"/>
        </c:dLbls>
        <c:gapWidth val="219"/>
        <c:overlap val="-27"/>
        <c:axId val="153610975"/>
        <c:axId val="1417255119"/>
      </c:barChart>
      <c:catAx>
        <c:axId val="15361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255119"/>
        <c:crosses val="autoZero"/>
        <c:auto val="1"/>
        <c:lblAlgn val="ctr"/>
        <c:lblOffset val="100"/>
        <c:noMultiLvlLbl val="0"/>
      </c:catAx>
      <c:valAx>
        <c:axId val="1417255119"/>
        <c:scaling>
          <c:orientation val="minMax"/>
        </c:scaling>
        <c:delete val="1"/>
        <c:axPos val="l"/>
        <c:majorGridlines>
          <c:spPr>
            <a:ln w="9525" cap="flat" cmpd="sng" algn="ctr">
              <a:solidFill>
                <a:schemeClr val="tx1">
                  <a:lumMod val="15000"/>
                  <a:lumOff val="85000"/>
                </a:schemeClr>
              </a:solidFill>
              <a:round/>
            </a:ln>
            <a:effectLst/>
          </c:spPr>
        </c:majorGridlines>
        <c:numFmt formatCode="&quot;₹&quot;\ #,##0.00;[Red]&quot;₹&quot;\ #,##0.00" sourceLinked="1"/>
        <c:majorTickMark val="none"/>
        <c:minorTickMark val="none"/>
        <c:tickLblPos val="nextTo"/>
        <c:crossAx val="153610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[expense_dashboard.xlsx]Sheet1!PivotTable3</c:name>
    <c:fmtId val="18"/>
  </c:pivotSource>
  <c:chart>
    <c:title>
      <c:tx>
        <c:rich>
          <a:bodyPr rot="0" spcFirstLastPara="1" vertOverflow="ellipsis" vert="horz" wrap="square" anchor="ctr" anchorCtr="1"/>
          <a:lstStyle/>
          <a:p>
            <a:pPr>
              <a:defRPr sz="1400" b="0" i="0" u="none" strike="noStrike" kern="1200" spc="0" baseline="0">
                <a:ln>
                  <a:solidFill>
                    <a:schemeClr val="accent1"/>
                  </a:solidFill>
                </a:ln>
                <a:solidFill>
                  <a:schemeClr val="tx1">
                    <a:lumMod val="65000"/>
                    <a:lumOff val="35000"/>
                  </a:schemeClr>
                </a:solidFill>
                <a:latin typeface="+mn-lt"/>
                <a:ea typeface="+mn-ea"/>
                <a:cs typeface="+mn-cs"/>
              </a:defRPr>
            </a:pPr>
            <a:r>
              <a:rPr lang="en-IN">
                <a:ln>
                  <a:solidFill>
                    <a:schemeClr val="accent1"/>
                  </a:solidFill>
                </a:ln>
              </a:rPr>
              <a:t>Category Wise Expense</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1"/>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Sheet1!$G$16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Sheet1!$F$17:$F$24</c:f>
              <c:strCache>
                <c:ptCount val="7"/>
                <c:pt idx="0">
                  <c:v>Entertainment</c:v>
                </c:pt>
                <c:pt idx="1">
                  <c:v>Food</c:v>
                </c:pt>
                <c:pt idx="2">
                  <c:v>Healthcare</c:v>
                </c:pt>
                <c:pt idx="3">
                  <c:v>Housing</c:v>
                </c:pt>
                <c:pt idx="4">
                  <c:v>Shopping</c:v>
                </c:pt>
                <c:pt idx="5">
                  <c:v>Travel</c:v>
                </c:pt>
                <c:pt idx="6">
                  <c:v>Utilities</c:v>
                </c:pt>
              </c:strCache>
            </c:strRef>
          </c:cat>
          <c:val>
            <c:numRef>
              <c:f>Sheet1!$G$17:$G$24</c:f>
              <c:numCache>
                <c:formatCode>"₹"\ #,##0.00;[Red]"₹"\ #,##0.00</c:formatCode>
                <c:ptCount val="7"/>
                <c:pt idx="0">
                  <c:v>13385</c:v>
                </c:pt>
                <c:pt idx="1">
                  <c:v>15520</c:v>
                </c:pt>
                <c:pt idx="2">
                  <c:v>13030</c:v>
                </c:pt>
                <c:pt idx="3">
                  <c:v>131250</c:v>
                </c:pt>
                <c:pt idx="4">
                  <c:v>30350</c:v>
                </c:pt>
                <c:pt idx="5">
                  <c:v>26970</c:v>
                </c:pt>
                <c:pt idx="6">
                  <c:v>14810</c:v>
                </c:pt>
              </c:numCache>
            </c:numRef>
          </c:val>
          <c:extLst>
            <c:ext xmlns:c16="http://schemas.microsoft.com/office/drawing/2014/chart" uri="{C3380CC4-5D6E-409C-BE32-E72D297353CC}">
              <c16:uniqueId val="{00000017-42CF-42EA-8B09-2570764D73BB}"/>
            </c:ext>
          </c:extLst>
        </c:ser>
        <c:dLbls>
          <c:dLblPos val="outEnd"/>
          <c:showLegendKey val="0"/>
          <c:showVal val="0"/>
          <c:showCatName val="0"/>
          <c:showSerName val="0"/>
          <c:showPercent val="1"/>
          <c:showBubbleSize val="0"/>
          <c:showLeaderLines val="1"/>
        </c:dLbls>
        <c:firstSliceAng val="0"/>
      </c:pieChart>
      <c:spPr>
        <a:noFill/>
        <a:ln>
          <a:noFill/>
        </a:ln>
        <a:effectLst>
          <a:glow rad="1689100">
            <a:schemeClr val="accent1">
              <a:alpha val="40000"/>
            </a:schemeClr>
          </a:glow>
          <a:softEdge rad="97790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[expense_dashboard.xlsx]Sheet1!PivotTable4</c:name>
    <c:fmtId val="17"/>
  </c:pivotSource>
  <c:chart>
    <c:title>
      <c:tx>
        <c:rich>
          <a:bodyPr rot="0" spcFirstLastPara="1" vertOverflow="ellipsis" vert="horz" wrap="square" anchor="ctr" anchorCtr="1"/>
          <a:lstStyle/>
          <a:p>
            <a:pPr>
              <a:defRPr sz="1400" b="0" i="0" u="none" strike="noStrike" kern="1200" spc="0" baseline="0">
                <a:ln>
                  <a:solidFill>
                    <a:schemeClr val="accent1"/>
                  </a:solidFill>
                </a:ln>
                <a:solidFill>
                  <a:schemeClr val="tx1">
                    <a:lumMod val="65000"/>
                    <a:lumOff val="35000"/>
                  </a:schemeClr>
                </a:solidFill>
                <a:latin typeface="+mn-lt"/>
                <a:ea typeface="+mn-ea"/>
                <a:cs typeface="+mn-cs"/>
              </a:defRPr>
            </a:pPr>
            <a:r>
              <a:rPr lang="en-US">
                <a:ln>
                  <a:solidFill>
                    <a:schemeClr val="accent1"/>
                  </a:solidFill>
                </a:ln>
              </a:rPr>
              <a:t>Payment</a:t>
            </a:r>
            <a:r>
              <a:rPr lang="en-US" baseline="0">
                <a:ln>
                  <a:solidFill>
                    <a:schemeClr val="accent1"/>
                  </a:solidFill>
                </a:ln>
              </a:rPr>
              <a:t> Mode Wise Expense</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1"/>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Sheet1!$G$29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Sheet1!$F$30:$F$34</c:f>
              <c:strCache>
                <c:ptCount val="4"/>
                <c:pt idx="0">
                  <c:v>Card</c:v>
                </c:pt>
                <c:pt idx="1">
                  <c:v>Cash</c:v>
                </c:pt>
                <c:pt idx="2">
                  <c:v>NetBanking</c:v>
                </c:pt>
                <c:pt idx="3">
                  <c:v>UPI</c:v>
                </c:pt>
              </c:strCache>
            </c:strRef>
          </c:cat>
          <c:val>
            <c:numRef>
              <c:f>Sheet1!$G$30:$G$34</c:f>
              <c:numCache>
                <c:formatCode>"₹"\ #,##0.00;[Red]"₹"\ #,##0.00</c:formatCode>
                <c:ptCount val="4"/>
                <c:pt idx="0">
                  <c:v>53512</c:v>
                </c:pt>
                <c:pt idx="1">
                  <c:v>14920</c:v>
                </c:pt>
                <c:pt idx="2">
                  <c:v>78265</c:v>
                </c:pt>
                <c:pt idx="3">
                  <c:v>98618</c:v>
                </c:pt>
              </c:numCache>
            </c:numRef>
          </c:val>
          <c:extLst>
            <c:ext xmlns:c16="http://schemas.microsoft.com/office/drawing/2014/chart" uri="{C3380CC4-5D6E-409C-BE32-E72D297353CC}">
              <c16:uniqueId val="{00000000-D268-4598-BE82-4997E1B18A96}"/>
            </c:ext>
          </c:extLst>
        </c:ser>
        <c:dLbls>
          <c:showLegendKey val="0"/>
          <c:showVal val="1"/>
          <c:showCatName val="0"/>
          <c:showSerName val="0"/>
          <c:showPercent val="0"/>
          <c:showBubbleSize val="0"/>
        </c:dLbls>
        <c:gapWidth val="150"/>
        <c:overlap val="-25"/>
        <c:axId val="785444447"/>
        <c:axId val="785442047"/>
      </c:barChart>
      <c:catAx>
        <c:axId val="785444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442047"/>
        <c:crosses val="autoZero"/>
        <c:auto val="1"/>
        <c:lblAlgn val="ctr"/>
        <c:lblOffset val="100"/>
        <c:noMultiLvlLbl val="0"/>
      </c:catAx>
      <c:valAx>
        <c:axId val="785442047"/>
        <c:scaling>
          <c:orientation val="minMax"/>
        </c:scaling>
        <c:delete val="1"/>
        <c:axPos val="b"/>
        <c:numFmt formatCode="&quot;₹&quot;\ #,##0.00;[Red]&quot;₹&quot;\ #,##0.00" sourceLinked="1"/>
        <c:majorTickMark val="none"/>
        <c:minorTickMark val="none"/>
        <c:tickLblPos val="nextTo"/>
        <c:crossAx val="785444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[expense_dashboard.xlsx]Sheet1!PivotTable5</c:name>
    <c:fmtId val="18"/>
  </c:pivotSource>
  <c:chart>
    <c:title>
      <c:tx>
        <c:rich>
          <a:bodyPr rot="0" spcFirstLastPara="1" vertOverflow="ellipsis" vert="horz" wrap="square" anchor="ctr" anchorCtr="1"/>
          <a:lstStyle/>
          <a:p>
            <a:pPr>
              <a:defRPr sz="1400" b="0" i="0" u="none" strike="noStrike" kern="1200" spc="0" baseline="0">
                <a:ln>
                  <a:solidFill>
                    <a:schemeClr val="accent1"/>
                  </a:solidFill>
                </a:ln>
                <a:solidFill>
                  <a:sysClr val="windowText" lastClr="000000">
                    <a:lumMod val="65000"/>
                    <a:lumOff val="35000"/>
                  </a:sysClr>
                </a:solidFill>
                <a:latin typeface="+mn-lt"/>
                <a:ea typeface="+mn-ea"/>
                <a:cs typeface="+mn-cs"/>
              </a:defRPr>
            </a:pPr>
            <a:r>
              <a:rPr lang="en-US">
                <a:ln>
                  <a:solidFill>
                    <a:schemeClr val="accent1"/>
                  </a:solidFill>
                </a:ln>
                <a:solidFill>
                  <a:sysClr val="windowText" lastClr="000000">
                    <a:lumMod val="65000"/>
                    <a:lumOff val="35000"/>
                  </a:sysClr>
                </a:solidFill>
              </a:rPr>
              <a:t>Month Wise Expense</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1"/>
                </a:solidFill>
              </a:ln>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Sheet1!$F$41:$F$53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Sheet1!$G$41:$G$53</c:f>
              <c:numCache>
                <c:formatCode>"₹"\ #,##0.00;[Red]"₹"\ #,##0.00</c:formatCode>
                <c:ptCount val="12"/>
                <c:pt idx="0">
                  <c:v>14366</c:v>
                </c:pt>
                <c:pt idx="1">
                  <c:v>5108</c:v>
                </c:pt>
                <c:pt idx="2">
                  <c:v>6528</c:v>
                </c:pt>
                <c:pt idx="3">
                  <c:v>33699</c:v>
                </c:pt>
                <c:pt idx="4">
                  <c:v>10498</c:v>
                </c:pt>
                <c:pt idx="5">
                  <c:v>31269</c:v>
                </c:pt>
                <c:pt idx="6">
                  <c:v>8844</c:v>
                </c:pt>
                <c:pt idx="7">
                  <c:v>32880</c:v>
                </c:pt>
                <c:pt idx="8">
                  <c:v>9680</c:v>
                </c:pt>
                <c:pt idx="9">
                  <c:v>29939</c:v>
                </c:pt>
                <c:pt idx="10">
                  <c:v>23244</c:v>
                </c:pt>
                <c:pt idx="11">
                  <c:v>39260</c:v>
                </c:pt>
              </c:numCache>
            </c:numRef>
          </c:val>
          <c:extLst>
            <c:ext xmlns:c16="http://schemas.microsoft.com/office/drawing/2014/chart" uri="{C3380CC4-5D6E-409C-BE32-E72D297353CC}">
              <c16:uniqueId val="{00000002-A994-4D99-8F4F-D4E038B67AD7}"/>
            </c:ext>
          </c:extLst>
        </c:ser>
        <c:dLbls>
          <c:showLegendKey val="0"/>
          <c:showVal val="1"/>
          <c:showCatName val="0"/>
          <c:showSerName val="0"/>
          <c:showPercent val="0"/>
          <c:showBubbleSize val="0"/>
        </c:dLbls>
        <c:gapWidth val="150"/>
        <c:overlap val="-25"/>
        <c:axId val="153610975"/>
        <c:axId val="1417255119"/>
      </c:barChart>
      <c:catAx>
        <c:axId val="15361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255119"/>
        <c:crosses val="autoZero"/>
        <c:auto val="1"/>
        <c:lblAlgn val="ctr"/>
        <c:lblOffset val="100"/>
        <c:noMultiLvlLbl val="0"/>
      </c:catAx>
      <c:valAx>
        <c:axId val="1417255119"/>
        <c:scaling>
          <c:orientation val="minMax"/>
        </c:scaling>
        <c:delete val="1"/>
        <c:axPos val="l"/>
        <c:numFmt formatCode="&quot;₹&quot;\ #,##0.00;[Red]&quot;₹&quot;\ #,##0.00" sourceLinked="1"/>
        <c:majorTickMark val="none"/>
        <c:minorTickMark val="none"/>
        <c:tickLblPos val="nextTo"/>
        <c:crossAx val="153610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6.xml"/><Relationship Id="rId7" Type="http://schemas.openxmlformats.org/officeDocument/2006/relationships/image" Target="../media/image4.sv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3.png"/><Relationship Id="rId5" Type="http://schemas.openxmlformats.org/officeDocument/2006/relationships/image" Target="../media/image2.svg"/><Relationship Id="rId4" Type="http://schemas.openxmlformats.org/officeDocument/2006/relationships/image" Target="../media/image1.png"/><Relationship Id="rId9"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7</xdr:col>
      <xdr:colOff>198120</xdr:colOff>
      <xdr:row>14</xdr:row>
      <xdr:rowOff>22860</xdr:rowOff>
    </xdr:from>
    <xdr:to>
      <xdr:col>11</xdr:col>
      <xdr:colOff>594360</xdr:colOff>
      <xdr:row>24</xdr:row>
      <xdr:rowOff>179070</xdr:rowOff>
    </xdr:to>
    <xdr:graphicFrame macro="">
      <xdr:nvGraphicFramePr>
        <xdr:cNvPr id="3" name="Chart 2">
          <a:extLst>
            <a:ext uri="{FF2B5EF4-FFF2-40B4-BE49-F238E27FC236}">
              <a16:creationId xmlns:a16="http://schemas.microsoft.com/office/drawing/2014/main" id="{3B120A55-B467-A4F3-2DBF-F8BCD1BAD5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213360</xdr:colOff>
      <xdr:row>26</xdr:row>
      <xdr:rowOff>0</xdr:rowOff>
    </xdr:from>
    <xdr:to>
      <xdr:col>12</xdr:col>
      <xdr:colOff>15240</xdr:colOff>
      <xdr:row>36</xdr:row>
      <xdr:rowOff>110490</xdr:rowOff>
    </xdr:to>
    <xdr:graphicFrame macro="">
      <xdr:nvGraphicFramePr>
        <xdr:cNvPr id="4" name="Chart 3">
          <a:extLst>
            <a:ext uri="{FF2B5EF4-FFF2-40B4-BE49-F238E27FC236}">
              <a16:creationId xmlns:a16="http://schemas.microsoft.com/office/drawing/2014/main" id="{323C7776-048A-182A-3488-376B5E73E4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228600</xdr:colOff>
      <xdr:row>38</xdr:row>
      <xdr:rowOff>179070</xdr:rowOff>
    </xdr:from>
    <xdr:to>
      <xdr:col>12</xdr:col>
      <xdr:colOff>15240</xdr:colOff>
      <xdr:row>53</xdr:row>
      <xdr:rowOff>15240</xdr:rowOff>
    </xdr:to>
    <xdr:graphicFrame macro="">
      <xdr:nvGraphicFramePr>
        <xdr:cNvPr id="5" name="Chart 4">
          <a:extLst>
            <a:ext uri="{FF2B5EF4-FFF2-40B4-BE49-F238E27FC236}">
              <a16:creationId xmlns:a16="http://schemas.microsoft.com/office/drawing/2014/main" id="{C2FD24F9-8664-A049-8366-A13A1C0C67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365760</xdr:colOff>
      <xdr:row>12</xdr:row>
      <xdr:rowOff>83821</xdr:rowOff>
    </xdr:from>
    <xdr:to>
      <xdr:col>17</xdr:col>
      <xdr:colOff>365760</xdr:colOff>
      <xdr:row>25</xdr:row>
      <xdr:rowOff>12701</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588CFB2A-6532-8977-EB49-9DFCE329214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183687" y="2245130"/>
              <a:ext cx="1828800" cy="22702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353060</xdr:colOff>
      <xdr:row>26</xdr:row>
      <xdr:rowOff>172721</xdr:rowOff>
    </xdr:from>
    <xdr:to>
      <xdr:col>17</xdr:col>
      <xdr:colOff>353060</xdr:colOff>
      <xdr:row>35</xdr:row>
      <xdr:rowOff>38101</xdr:rowOff>
    </xdr:to>
    <mc:AlternateContent xmlns:mc="http://schemas.openxmlformats.org/markup-compatibility/2006" xmlns:a14="http://schemas.microsoft.com/office/drawing/2010/main">
      <mc:Choice Requires="a14">
        <xdr:graphicFrame macro="">
          <xdr:nvGraphicFramePr>
            <xdr:cNvPr id="7" name="Payment Mode">
              <a:extLst>
                <a:ext uri="{FF2B5EF4-FFF2-40B4-BE49-F238E27FC236}">
                  <a16:creationId xmlns:a16="http://schemas.microsoft.com/office/drawing/2014/main" id="{6CD574ED-9411-64E8-079B-42C78D26F976}"/>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12170987" y="4855557"/>
              <a:ext cx="1828800" cy="14863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353060</xdr:colOff>
      <xdr:row>39</xdr:row>
      <xdr:rowOff>43180</xdr:rowOff>
    </xdr:from>
    <xdr:to>
      <xdr:col>17</xdr:col>
      <xdr:colOff>353060</xdr:colOff>
      <xdr:row>59</xdr:row>
      <xdr:rowOff>50800</xdr:rowOff>
    </xdr:to>
    <mc:AlternateContent xmlns:mc="http://schemas.openxmlformats.org/markup-compatibility/2006" xmlns:a14="http://schemas.microsoft.com/office/drawing/2010/main">
      <mc:Choice Requires="a14">
        <xdr:graphicFrame macro="">
          <xdr:nvGraphicFramePr>
            <xdr:cNvPr id="10" name="month">
              <a:extLst>
                <a:ext uri="{FF2B5EF4-FFF2-40B4-BE49-F238E27FC236}">
                  <a16:creationId xmlns:a16="http://schemas.microsoft.com/office/drawing/2014/main" id="{89DFCBFE-ECB2-4719-92E0-989D33CB36D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170987" y="7067435"/>
              <a:ext cx="1828800" cy="3609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95250</xdr:colOff>
      <xdr:row>5</xdr:row>
      <xdr:rowOff>57150</xdr:rowOff>
    </xdr:from>
    <xdr:to>
      <xdr:col>5</xdr:col>
      <xdr:colOff>304800</xdr:colOff>
      <xdr:row>11</xdr:row>
      <xdr:rowOff>34290</xdr:rowOff>
    </xdr:to>
    <xdr:sp macro="" textlink="Sheet1!$F$4">
      <xdr:nvSpPr>
        <xdr:cNvPr id="2" name="Rectangle: Rounded Corners 1">
          <a:extLst>
            <a:ext uri="{FF2B5EF4-FFF2-40B4-BE49-F238E27FC236}">
              <a16:creationId xmlns:a16="http://schemas.microsoft.com/office/drawing/2014/main" id="{B379E9F6-E904-7259-0DC6-E29B8E391893}"/>
            </a:ext>
          </a:extLst>
        </xdr:cNvPr>
        <xdr:cNvSpPr/>
      </xdr:nvSpPr>
      <xdr:spPr>
        <a:xfrm>
          <a:off x="95250" y="849630"/>
          <a:ext cx="2785110" cy="1074420"/>
        </a:xfrm>
        <a:prstGeom prst="roundRect">
          <a:avLst/>
        </a:prstGeom>
        <a:solidFill>
          <a:schemeClr val="bg1">
            <a:lumMod val="95000"/>
          </a:schemeClr>
        </a:solidFill>
        <a:ln>
          <a:solidFill>
            <a:schemeClr val="accent3">
              <a:lumMod val="40000"/>
              <a:lumOff val="6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D106163-86F9-4B52-B8F2-9ED6B659BCAC}" type="TxLink">
            <a:rPr lang="en-US" sz="2000" b="1" i="0" u="none" strike="noStrike">
              <a:solidFill>
                <a:srgbClr val="000000"/>
              </a:solidFill>
              <a:latin typeface="Arial Black" panose="020B0A04020102020204" pitchFamily="34" charset="0"/>
              <a:ea typeface="Calibri"/>
              <a:cs typeface="Calibri"/>
            </a:rPr>
            <a:pPr algn="ctr"/>
            <a:t>₹ 2,45,315.00</a:t>
          </a:fld>
          <a:endParaRPr lang="en-IN" sz="2400" b="1">
            <a:solidFill>
              <a:schemeClr val="tx1"/>
            </a:solidFill>
            <a:latin typeface="Arial Black" panose="020B0A04020102020204" pitchFamily="34" charset="0"/>
          </a:endParaRPr>
        </a:p>
      </xdr:txBody>
    </xdr:sp>
    <xdr:clientData/>
  </xdr:twoCellAnchor>
  <xdr:twoCellAnchor>
    <xdr:from>
      <xdr:col>13</xdr:col>
      <xdr:colOff>224790</xdr:colOff>
      <xdr:row>5</xdr:row>
      <xdr:rowOff>57150</xdr:rowOff>
    </xdr:from>
    <xdr:to>
      <xdr:col>17</xdr:col>
      <xdr:colOff>571500</xdr:colOff>
      <xdr:row>11</xdr:row>
      <xdr:rowOff>34290</xdr:rowOff>
    </xdr:to>
    <xdr:sp macro="" textlink="Sheet1!$F$12">
      <xdr:nvSpPr>
        <xdr:cNvPr id="3" name="Rectangle: Rounded Corners 2">
          <a:extLst>
            <a:ext uri="{FF2B5EF4-FFF2-40B4-BE49-F238E27FC236}">
              <a16:creationId xmlns:a16="http://schemas.microsoft.com/office/drawing/2014/main" id="{3F74759E-F13F-3E51-3FAA-D784EDA423FD}"/>
            </a:ext>
          </a:extLst>
        </xdr:cNvPr>
        <xdr:cNvSpPr/>
      </xdr:nvSpPr>
      <xdr:spPr>
        <a:xfrm>
          <a:off x="7677150" y="849630"/>
          <a:ext cx="2785110" cy="1074420"/>
        </a:xfrm>
        <a:prstGeom prst="roundRect">
          <a:avLst/>
        </a:prstGeom>
        <a:solidFill>
          <a:schemeClr val="bg1">
            <a:lumMod val="95000"/>
          </a:schemeClr>
        </a:solidFill>
        <a:ln>
          <a:solidFill>
            <a:schemeClr val="accent3">
              <a:lumMod val="40000"/>
              <a:lumOff val="6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9FDC5AA-3DD7-4FE0-9408-9FD30AB6F531}" type="TxLink">
            <a:rPr lang="en-US" sz="2000" b="0" i="0" u="none" strike="noStrike">
              <a:solidFill>
                <a:srgbClr val="000000"/>
              </a:solidFill>
              <a:latin typeface="Arial Black" panose="020B0A04020102020204" pitchFamily="34" charset="0"/>
              <a:ea typeface="Calibri"/>
              <a:cs typeface="Calibri"/>
            </a:rPr>
            <a:pPr algn="ctr"/>
            <a:t>Housing</a:t>
          </a:fld>
          <a:endParaRPr lang="en-IN" sz="2400" b="0">
            <a:solidFill>
              <a:schemeClr val="tx1"/>
            </a:solidFill>
            <a:latin typeface="Arial Black" panose="020B0A04020102020204" pitchFamily="34" charset="0"/>
          </a:endParaRPr>
        </a:p>
      </xdr:txBody>
    </xdr:sp>
    <xdr:clientData/>
  </xdr:twoCellAnchor>
  <xdr:twoCellAnchor>
    <xdr:from>
      <xdr:col>6</xdr:col>
      <xdr:colOff>506730</xdr:colOff>
      <xdr:row>5</xdr:row>
      <xdr:rowOff>57150</xdr:rowOff>
    </xdr:from>
    <xdr:to>
      <xdr:col>11</xdr:col>
      <xdr:colOff>243840</xdr:colOff>
      <xdr:row>11</xdr:row>
      <xdr:rowOff>34290</xdr:rowOff>
    </xdr:to>
    <xdr:sp macro="" textlink="">
      <xdr:nvSpPr>
        <xdr:cNvPr id="4" name="Rectangle: Rounded Corners 3">
          <a:extLst>
            <a:ext uri="{FF2B5EF4-FFF2-40B4-BE49-F238E27FC236}">
              <a16:creationId xmlns:a16="http://schemas.microsoft.com/office/drawing/2014/main" id="{A8413A14-18B6-BF20-7BEA-529B87AAB81F}"/>
            </a:ext>
          </a:extLst>
        </xdr:cNvPr>
        <xdr:cNvSpPr/>
      </xdr:nvSpPr>
      <xdr:spPr>
        <a:xfrm>
          <a:off x="3691890" y="849630"/>
          <a:ext cx="2785110" cy="1074420"/>
        </a:xfrm>
        <a:prstGeom prst="roundRect">
          <a:avLst/>
        </a:prstGeom>
        <a:solidFill>
          <a:schemeClr val="bg1">
            <a:lumMod val="95000"/>
          </a:schemeClr>
        </a:solidFill>
        <a:ln>
          <a:solidFill>
            <a:schemeClr val="accent3">
              <a:lumMod val="40000"/>
              <a:lumOff val="6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solidFill>
                <a:schemeClr val="tx1"/>
              </a:solidFill>
              <a:latin typeface="Century" panose="02040604050505020304" pitchFamily="18" charset="0"/>
            </a:rPr>
            <a:t>Average Daily Spend</a:t>
          </a:r>
        </a:p>
      </xdr:txBody>
    </xdr:sp>
    <xdr:clientData/>
  </xdr:twoCellAnchor>
  <xdr:twoCellAnchor editAs="oneCell">
    <xdr:from>
      <xdr:col>19</xdr:col>
      <xdr:colOff>99060</xdr:colOff>
      <xdr:row>4</xdr:row>
      <xdr:rowOff>91440</xdr:rowOff>
    </xdr:from>
    <xdr:to>
      <xdr:col>24</xdr:col>
      <xdr:colOff>50386</xdr:colOff>
      <xdr:row>15</xdr:row>
      <xdr:rowOff>99060</xdr:rowOff>
    </xdr:to>
    <mc:AlternateContent xmlns:mc="http://schemas.openxmlformats.org/markup-compatibility/2006" xmlns:a14="http://schemas.microsoft.com/office/drawing/2010/main">
      <mc:Choice Requires="a14">
        <xdr:graphicFrame macro="">
          <xdr:nvGraphicFramePr>
            <xdr:cNvPr id="5" name="Category 1">
              <a:extLst>
                <a:ext uri="{FF2B5EF4-FFF2-40B4-BE49-F238E27FC236}">
                  <a16:creationId xmlns:a16="http://schemas.microsoft.com/office/drawing/2014/main" id="{309EDF99-C635-46F2-B5F5-EA229481D09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713720" y="792480"/>
              <a:ext cx="2504026" cy="1927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12</xdr:row>
      <xdr:rowOff>45720</xdr:rowOff>
    </xdr:from>
    <xdr:to>
      <xdr:col>7</xdr:col>
      <xdr:colOff>91440</xdr:colOff>
      <xdr:row>24</xdr:row>
      <xdr:rowOff>144780</xdr:rowOff>
    </xdr:to>
    <xdr:graphicFrame macro="">
      <xdr:nvGraphicFramePr>
        <xdr:cNvPr id="6" name="Chart 5">
          <a:extLst>
            <a:ext uri="{FF2B5EF4-FFF2-40B4-BE49-F238E27FC236}">
              <a16:creationId xmlns:a16="http://schemas.microsoft.com/office/drawing/2014/main" id="{F418ECBF-0043-4EC5-835B-15ECA0CF81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76200</xdr:colOff>
      <xdr:row>25</xdr:row>
      <xdr:rowOff>35329</xdr:rowOff>
    </xdr:from>
    <xdr:to>
      <xdr:col>17</xdr:col>
      <xdr:colOff>586740</xdr:colOff>
      <xdr:row>36</xdr:row>
      <xdr:rowOff>118110</xdr:rowOff>
    </xdr:to>
    <xdr:graphicFrame macro="">
      <xdr:nvGraphicFramePr>
        <xdr:cNvPr id="7" name="Chart 6">
          <a:extLst>
            <a:ext uri="{FF2B5EF4-FFF2-40B4-BE49-F238E27FC236}">
              <a16:creationId xmlns:a16="http://schemas.microsoft.com/office/drawing/2014/main" id="{35418BE6-AE18-4DF0-B01C-4230ABA21C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236220</xdr:colOff>
      <xdr:row>12</xdr:row>
      <xdr:rowOff>36369</xdr:rowOff>
    </xdr:from>
    <xdr:to>
      <xdr:col>17</xdr:col>
      <xdr:colOff>579120</xdr:colOff>
      <xdr:row>24</xdr:row>
      <xdr:rowOff>160021</xdr:rowOff>
    </xdr:to>
    <xdr:graphicFrame macro="">
      <xdr:nvGraphicFramePr>
        <xdr:cNvPr id="8" name="Chart 7">
          <a:extLst>
            <a:ext uri="{FF2B5EF4-FFF2-40B4-BE49-F238E27FC236}">
              <a16:creationId xmlns:a16="http://schemas.microsoft.com/office/drawing/2014/main" id="{FCE1B88B-1E65-4C08-BF27-23B2EF0121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93980</xdr:colOff>
      <xdr:row>15</xdr:row>
      <xdr:rowOff>124230</xdr:rowOff>
    </xdr:from>
    <xdr:to>
      <xdr:col>24</xdr:col>
      <xdr:colOff>45720</xdr:colOff>
      <xdr:row>21</xdr:row>
      <xdr:rowOff>160020</xdr:rowOff>
    </xdr:to>
    <mc:AlternateContent xmlns:mc="http://schemas.openxmlformats.org/markup-compatibility/2006" xmlns:a14="http://schemas.microsoft.com/office/drawing/2010/main">
      <mc:Choice Requires="a14">
        <xdr:graphicFrame macro="">
          <xdr:nvGraphicFramePr>
            <xdr:cNvPr id="9" name="Payment Mode 1">
              <a:extLst>
                <a:ext uri="{FF2B5EF4-FFF2-40B4-BE49-F238E27FC236}">
                  <a16:creationId xmlns:a16="http://schemas.microsoft.com/office/drawing/2014/main" id="{E1624908-54FD-45BE-8E04-80768341BD3F}"/>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10708640" y="2745510"/>
              <a:ext cx="2504440" cy="11330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101600</xdr:colOff>
      <xdr:row>22</xdr:row>
      <xdr:rowOff>4388</xdr:rowOff>
    </xdr:from>
    <xdr:to>
      <xdr:col>24</xdr:col>
      <xdr:colOff>45720</xdr:colOff>
      <xdr:row>36</xdr:row>
      <xdr:rowOff>137160</xdr:rowOff>
    </xdr:to>
    <mc:AlternateContent xmlns:mc="http://schemas.openxmlformats.org/markup-compatibility/2006" xmlns:a14="http://schemas.microsoft.com/office/drawing/2010/main">
      <mc:Choice Requires="a14">
        <xdr:graphicFrame macro="">
          <xdr:nvGraphicFramePr>
            <xdr:cNvPr id="10" name="month 1">
              <a:extLst>
                <a:ext uri="{FF2B5EF4-FFF2-40B4-BE49-F238E27FC236}">
                  <a16:creationId xmlns:a16="http://schemas.microsoft.com/office/drawing/2014/main" id="{CF993B07-3C44-4E3A-A3AC-CBE15D8554E8}"/>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0716260" y="3905828"/>
              <a:ext cx="2496820" cy="26930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137160</xdr:colOff>
      <xdr:row>5</xdr:row>
      <xdr:rowOff>68580</xdr:rowOff>
    </xdr:from>
    <xdr:ext cx="1202252" cy="277320"/>
    <xdr:sp macro="" textlink="">
      <xdr:nvSpPr>
        <xdr:cNvPr id="12" name="TextBox 11">
          <a:extLst>
            <a:ext uri="{FF2B5EF4-FFF2-40B4-BE49-F238E27FC236}">
              <a16:creationId xmlns:a16="http://schemas.microsoft.com/office/drawing/2014/main" id="{DA01789F-1264-8AB1-D676-0FB173798923}"/>
            </a:ext>
          </a:extLst>
        </xdr:cNvPr>
        <xdr:cNvSpPr txBox="1"/>
      </xdr:nvSpPr>
      <xdr:spPr>
        <a:xfrm>
          <a:off x="883920" y="861060"/>
          <a:ext cx="1202252" cy="277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1200" b="0" u="none">
              <a:latin typeface="Century" panose="02040604050505020304" pitchFamily="18" charset="0"/>
            </a:rPr>
            <a:t>Total</a:t>
          </a:r>
          <a:r>
            <a:rPr lang="en-IN" sz="1200" b="0" u="none" baseline="0">
              <a:latin typeface="Century" panose="02040604050505020304" pitchFamily="18" charset="0"/>
            </a:rPr>
            <a:t> Expense</a:t>
          </a:r>
          <a:endParaRPr lang="en-IN" sz="1200" b="0" u="none">
            <a:latin typeface="Century" panose="02040604050505020304" pitchFamily="18" charset="0"/>
          </a:endParaRPr>
        </a:p>
      </xdr:txBody>
    </xdr:sp>
    <xdr:clientData/>
  </xdr:oneCellAnchor>
  <xdr:twoCellAnchor editAs="oneCell">
    <xdr:from>
      <xdr:col>2</xdr:col>
      <xdr:colOff>563880</xdr:colOff>
      <xdr:row>9</xdr:row>
      <xdr:rowOff>160020</xdr:rowOff>
    </xdr:from>
    <xdr:to>
      <xdr:col>3</xdr:col>
      <xdr:colOff>175260</xdr:colOff>
      <xdr:row>11</xdr:row>
      <xdr:rowOff>15240</xdr:rowOff>
    </xdr:to>
    <xdr:pic>
      <xdr:nvPicPr>
        <xdr:cNvPr id="14" name="Graphic 13" descr="Money with solid fill">
          <a:extLst>
            <a:ext uri="{FF2B5EF4-FFF2-40B4-BE49-F238E27FC236}">
              <a16:creationId xmlns:a16="http://schemas.microsoft.com/office/drawing/2014/main" id="{B7EAAB0D-5E74-E50E-781E-AEA57209E1C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310640" y="1684020"/>
          <a:ext cx="220980" cy="220980"/>
        </a:xfrm>
        <a:prstGeom prst="rect">
          <a:avLst/>
        </a:prstGeom>
      </xdr:spPr>
    </xdr:pic>
    <xdr:clientData/>
  </xdr:twoCellAnchor>
  <xdr:twoCellAnchor editAs="oneCell">
    <xdr:from>
      <xdr:col>8</xdr:col>
      <xdr:colOff>533400</xdr:colOff>
      <xdr:row>9</xdr:row>
      <xdr:rowOff>152400</xdr:rowOff>
    </xdr:from>
    <xdr:to>
      <xdr:col>9</xdr:col>
      <xdr:colOff>160020</xdr:colOff>
      <xdr:row>11</xdr:row>
      <xdr:rowOff>22860</xdr:rowOff>
    </xdr:to>
    <xdr:pic>
      <xdr:nvPicPr>
        <xdr:cNvPr id="16" name="Graphic 15" descr="Daily calendar with solid fill">
          <a:extLst>
            <a:ext uri="{FF2B5EF4-FFF2-40B4-BE49-F238E27FC236}">
              <a16:creationId xmlns:a16="http://schemas.microsoft.com/office/drawing/2014/main" id="{C7E700D9-969E-B5E4-17C0-E44E96B2B7B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937760" y="1676400"/>
          <a:ext cx="236220" cy="236220"/>
        </a:xfrm>
        <a:prstGeom prst="rect">
          <a:avLst/>
        </a:prstGeom>
      </xdr:spPr>
    </xdr:pic>
    <xdr:clientData/>
  </xdr:twoCellAnchor>
  <xdr:oneCellAnchor>
    <xdr:from>
      <xdr:col>7</xdr:col>
      <xdr:colOff>358140</xdr:colOff>
      <xdr:row>7</xdr:row>
      <xdr:rowOff>22860</xdr:rowOff>
    </xdr:from>
    <xdr:ext cx="1809598" cy="453970"/>
    <xdr:sp macro="" textlink="Sheet1!$F$8">
      <xdr:nvSpPr>
        <xdr:cNvPr id="17" name="TextBox 16">
          <a:extLst>
            <a:ext uri="{FF2B5EF4-FFF2-40B4-BE49-F238E27FC236}">
              <a16:creationId xmlns:a16="http://schemas.microsoft.com/office/drawing/2014/main" id="{4ED6533B-D616-2CA1-6722-D05925CF004E}"/>
            </a:ext>
          </a:extLst>
        </xdr:cNvPr>
        <xdr:cNvSpPr txBox="1"/>
      </xdr:nvSpPr>
      <xdr:spPr>
        <a:xfrm>
          <a:off x="4152900" y="1181100"/>
          <a:ext cx="1809598" cy="4539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9E559B6B-AA43-417F-B13F-A35A268573BC}" type="TxLink">
            <a:rPr lang="en-US" sz="2000" b="1" i="0" u="none" strike="noStrike">
              <a:solidFill>
                <a:schemeClr val="tx1"/>
              </a:solidFill>
              <a:latin typeface="Arial Black" panose="020B0A04020102020204" pitchFamily="34" charset="0"/>
              <a:ea typeface="Calibri"/>
              <a:cs typeface="Calibri"/>
            </a:rPr>
            <a:pPr algn="ctr"/>
            <a:t> ₹ 1,901.67 </a:t>
          </a:fld>
          <a:endParaRPr lang="en-IN" sz="2000" b="1">
            <a:solidFill>
              <a:schemeClr val="tx1"/>
            </a:solidFill>
            <a:latin typeface="Arial Black" panose="020B0A04020102020204" pitchFamily="34" charset="0"/>
          </a:endParaRPr>
        </a:p>
      </xdr:txBody>
    </xdr:sp>
    <xdr:clientData/>
  </xdr:oneCellAnchor>
  <xdr:oneCellAnchor>
    <xdr:from>
      <xdr:col>13</xdr:col>
      <xdr:colOff>541020</xdr:colOff>
      <xdr:row>5</xdr:row>
      <xdr:rowOff>114300</xdr:rowOff>
    </xdr:from>
    <xdr:ext cx="2145396" cy="277320"/>
    <xdr:sp macro="" textlink="">
      <xdr:nvSpPr>
        <xdr:cNvPr id="18" name="TextBox 17">
          <a:extLst>
            <a:ext uri="{FF2B5EF4-FFF2-40B4-BE49-F238E27FC236}">
              <a16:creationId xmlns:a16="http://schemas.microsoft.com/office/drawing/2014/main" id="{AB1FB177-E85B-A8FD-875B-652FD249D97C}"/>
            </a:ext>
          </a:extLst>
        </xdr:cNvPr>
        <xdr:cNvSpPr txBox="1"/>
      </xdr:nvSpPr>
      <xdr:spPr>
        <a:xfrm>
          <a:off x="7993380" y="906780"/>
          <a:ext cx="2145396" cy="277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a:latin typeface="Century" panose="02040604050505020304" pitchFamily="18" charset="0"/>
            </a:rPr>
            <a:t>Highest Spending Category</a:t>
          </a:r>
        </a:p>
      </xdr:txBody>
    </xdr:sp>
    <xdr:clientData/>
  </xdr:oneCellAnchor>
  <xdr:twoCellAnchor editAs="oneCell">
    <xdr:from>
      <xdr:col>15</xdr:col>
      <xdr:colOff>251460</xdr:colOff>
      <xdr:row>9</xdr:row>
      <xdr:rowOff>114300</xdr:rowOff>
    </xdr:from>
    <xdr:to>
      <xdr:col>15</xdr:col>
      <xdr:colOff>541020</xdr:colOff>
      <xdr:row>11</xdr:row>
      <xdr:rowOff>38100</xdr:rowOff>
    </xdr:to>
    <xdr:pic>
      <xdr:nvPicPr>
        <xdr:cNvPr id="20" name="Graphic 19" descr="Schoolhouse with solid fill">
          <a:extLst>
            <a:ext uri="{FF2B5EF4-FFF2-40B4-BE49-F238E27FC236}">
              <a16:creationId xmlns:a16="http://schemas.microsoft.com/office/drawing/2014/main" id="{BE0C34BA-82DC-A1E3-E8B6-95779622E96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923020" y="1638300"/>
          <a:ext cx="289560" cy="28956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7.498518865737" backgroundQuery="1" createdVersion="8" refreshedVersion="8" minRefreshableVersion="3" recordCount="0" supportSubquery="1" supportAdvancedDrill="1" xr:uid="{648602F0-E07B-479F-B80A-D7B85562E956}">
  <cacheSource type="external" connectionId="7"/>
  <cacheFields count="3">
    <cacheField name="[Category_List].[Categories].[Categories]" caption="Categories" numFmtId="0" level="1">
      <sharedItems count="7">
        <s v="Entertainment"/>
        <s v="Food"/>
        <s v="Healthcare"/>
        <s v="Housing"/>
        <s v="Shopping"/>
        <s v="Travel"/>
        <s v="Utilities"/>
      </sharedItems>
    </cacheField>
    <cacheField name="[Measures].[Sum of Amount]" caption="Sum of Amount" numFmtId="0" hierarchy="13" level="32767"/>
    <cacheField name="[tblExpense].[Category].[Category]" caption="Category" numFmtId="0" hierarchy="4" level="1">
      <sharedItems containsSemiMixedTypes="0" containsNonDate="0" containsString="0"/>
    </cacheField>
  </cacheFields>
  <cacheHierarchies count="15">
    <cacheHierarchy uniqueName="[Category_List].[Categories]" caption="Categories" attribute="1" defaultMemberUniqueName="[Category_List].[Categories].[All]" allUniqueName="[Category_List].[Categories].[All]" dimensionUniqueName="[Category_List]" displayFolder="" count="2" memberValueDatatype="130" unbalanced="0">
      <fieldsUsage count="2">
        <fieldUsage x="-1"/>
        <fieldUsage x="0"/>
      </fieldsUsage>
    </cacheHierarchy>
    <cacheHierarchy uniqueName="[Payment_mode_List].[Payment Mode]" caption="Payment Mode" attribute="1" defaultMemberUniqueName="[Payment_mode_List].[Payment Mode].[All]" allUniqueName="[Payment_mode_List].[Payment Mode].[All]" dimensionUniqueName="[Payment_mode_List]" displayFolder="" count="2" memberValueDatatype="130" unbalanced="0"/>
    <cacheHierarchy uniqueName="[tblExpense].[Date]" caption="Date" attribute="1" time="1" defaultMemberUniqueName="[tblExpense].[Date].[All]" allUniqueName="[tblExpense].[Date].[All]" dimensionUniqueName="[tblExpense]" displayFolder="" count="2" memberValueDatatype="7" unbalanced="0"/>
    <cacheHierarchy uniqueName="[tblExpense].[Description]" caption="Description" attribute="1" defaultMemberUniqueName="[tblExpense].[Description].[All]" allUniqueName="[tblExpense].[Description].[All]" dimensionUniqueName="[tblExpense]" displayFolder="" count="2" memberValueDatatype="130" unbalanced="0"/>
    <cacheHierarchy uniqueName="[tblExpense].[Category]" caption="Category" attribute="1" defaultMemberUniqueName="[tblExpense].[Category].[All]" allUniqueName="[tblExpense].[Category].[All]" dimensionUniqueName="[tblExpense]" displayFolder="" count="2" memberValueDatatype="130" unbalanced="0">
      <fieldsUsage count="2">
        <fieldUsage x="-1"/>
        <fieldUsage x="2"/>
      </fieldsUsage>
    </cacheHierarchy>
    <cacheHierarchy uniqueName="[tblExpense].[Amount]" caption="Amount" attribute="1" defaultMemberUniqueName="[tblExpense].[Amount].[All]" allUniqueName="[tblExpense].[Amount].[All]" dimensionUniqueName="[tblExpense]" displayFolder="" count="2" memberValueDatatype="20" unbalanced="0"/>
    <cacheHierarchy uniqueName="[tblExpense].[Payment_Mode]" caption="Payment_Mode" attribute="1" defaultMemberUniqueName="[tblExpense].[Payment_Mode].[All]" allUniqueName="[tblExpense].[Payment_Mode].[All]" dimensionUniqueName="[tblExpense]" displayFolder="" count="2" memberValueDatatype="130" unbalanced="0"/>
    <cacheHierarchy uniqueName="[tblExpense].[month]" caption="month" attribute="1" defaultMemberUniqueName="[tblExpense].[month].[All]" allUniqueName="[tblExpense].[month].[All]" dimensionUniqueName="[tblExpense]" displayFolder="" count="2" memberValueDatatype="130" unbalanced="0"/>
    <cacheHierarchy uniqueName="[tblExpense].[Day]" caption="Day" attribute="1" defaultMemberUniqueName="[tblExpense].[Day].[All]" allUniqueName="[tblExpense].[Day].[All]" dimensionUniqueName="[tblExpense]" displayFolder="" count="2" memberValueDatatype="20" unbalanced="0"/>
    <cacheHierarchy uniqueName="[Measures].[__XL_Count Category_List]" caption="__XL_Count Category_List" measure="1" displayFolder="" measureGroup="Category_List" count="0" hidden="1"/>
    <cacheHierarchy uniqueName="[Measures].[__XL_Count Payment_mode_List]" caption="__XL_Count Payment_mode_List" measure="1" displayFolder="" measureGroup="Payment_mode_List" count="0" hidden="1"/>
    <cacheHierarchy uniqueName="[Measures].[__XL_Count tblExpense]" caption="__XL_Count tblExpense" measure="1" displayFolder="" measureGroup="tblExpense" count="0" hidden="1"/>
    <cacheHierarchy uniqueName="[Measures].[__No measures defined]" caption="__No measures defined" measure="1" displayFolder="" count="0" hidden="1"/>
    <cacheHierarchy uniqueName="[Measures].[Sum of Amount]" caption="Sum of Amount" measure="1" displayFolder="" measureGroup="tblExpense" count="0" oneField="1" hidden="1">
      <fieldsUsage count="1">
        <fieldUsage x="1"/>
      </fieldsUsage>
      <extLst>
        <ext xmlns:x15="http://schemas.microsoft.com/office/spreadsheetml/2010/11/main" uri="{B97F6D7D-B522-45F9-BDA1-12C45D357490}">
          <x15:cacheHierarchy aggregatedColumn="5"/>
        </ext>
      </extLst>
    </cacheHierarchy>
    <cacheHierarchy uniqueName="[Measures].[Average of Amount]" caption="Average of Amount" measure="1" displayFolder="" measureGroup="tblExpense" count="0" hidden="1">
      <extLst>
        <ext xmlns:x15="http://schemas.microsoft.com/office/spreadsheetml/2010/11/main" uri="{B97F6D7D-B522-45F9-BDA1-12C45D357490}">
          <x15:cacheHierarchy aggregatedColumn="5"/>
        </ext>
      </extLst>
    </cacheHierarchy>
  </cacheHierarchies>
  <kpis count="0"/>
  <dimensions count="4">
    <dimension name="Category_List" uniqueName="[Category_List]" caption="Category_List"/>
    <dimension measure="1" name="Measures" uniqueName="[Measures]" caption="Measures"/>
    <dimension name="Payment_mode_List" uniqueName="[Payment_mode_List]" caption="Payment_mode_List"/>
    <dimension name="tblExpense" uniqueName="[tblExpense]" caption="tblExpense"/>
  </dimensions>
  <measureGroups count="3">
    <measureGroup name="Category_List" caption="Category_List"/>
    <measureGroup name="Payment_mode_List" caption="Payment_mode_List"/>
    <measureGroup name="tblExpense" caption="tblExpense"/>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7.499387847223" backgroundQuery="1" createdVersion="8" refreshedVersion="8" minRefreshableVersion="3" recordCount="0" supportSubquery="1" supportAdvancedDrill="1" xr:uid="{F926448E-E5E3-48DC-A803-1A9CCF0B44BD}">
  <cacheSource type="external" connectionId="7"/>
  <cacheFields count="3">
    <cacheField name="[Measures].[Sum of Amount]" caption="Sum of Amount" numFmtId="0" hierarchy="13" level="32767"/>
    <cacheField name="[tblExpense].[month].[month]" caption="month" numFmtId="0" hierarchy="7" level="1">
      <sharedItems count="12">
        <s v="April"/>
        <s v="August"/>
        <s v="December"/>
        <s v="February"/>
        <s v="January"/>
        <s v="July"/>
        <s v="June"/>
        <s v="March"/>
        <s v="May"/>
        <s v="November"/>
        <s v="October"/>
        <s v="September"/>
      </sharedItems>
    </cacheField>
    <cacheField name="[tblExpense].[Category].[Category]" caption="Category" numFmtId="0" hierarchy="4" level="1">
      <sharedItems containsSemiMixedTypes="0" containsNonDate="0" containsString="0"/>
    </cacheField>
  </cacheFields>
  <cacheHierarchies count="15">
    <cacheHierarchy uniqueName="[Category_List].[Categories]" caption="Categories" attribute="1" defaultMemberUniqueName="[Category_List].[Categories].[All]" allUniqueName="[Category_List].[Categories].[All]" dimensionUniqueName="[Category_List]" displayFolder="" count="2" memberValueDatatype="130" unbalanced="0"/>
    <cacheHierarchy uniqueName="[Payment_mode_List].[Payment Mode]" caption="Payment Mode" attribute="1" defaultMemberUniqueName="[Payment_mode_List].[Payment Mode].[All]" allUniqueName="[Payment_mode_List].[Payment Mode].[All]" dimensionUniqueName="[Payment_mode_List]" displayFolder="" count="2" memberValueDatatype="130" unbalanced="0"/>
    <cacheHierarchy uniqueName="[tblExpense].[Date]" caption="Date" attribute="1" time="1" defaultMemberUniqueName="[tblExpense].[Date].[All]" allUniqueName="[tblExpense].[Date].[All]" dimensionUniqueName="[tblExpense]" displayFolder="" count="2" memberValueDatatype="7" unbalanced="0"/>
    <cacheHierarchy uniqueName="[tblExpense].[Description]" caption="Description" attribute="1" defaultMemberUniqueName="[tblExpense].[Description].[All]" allUniqueName="[tblExpense].[Description].[All]" dimensionUniqueName="[tblExpense]" displayFolder="" count="2" memberValueDatatype="130" unbalanced="0"/>
    <cacheHierarchy uniqueName="[tblExpense].[Category]" caption="Category" attribute="1" defaultMemberUniqueName="[tblExpense].[Category].[All]" allUniqueName="[tblExpense].[Category].[All]" dimensionUniqueName="[tblExpense]" displayFolder="" count="2" memberValueDatatype="130" unbalanced="0">
      <fieldsUsage count="2">
        <fieldUsage x="-1"/>
        <fieldUsage x="2"/>
      </fieldsUsage>
    </cacheHierarchy>
    <cacheHierarchy uniqueName="[tblExpense].[Amount]" caption="Amount" attribute="1" defaultMemberUniqueName="[tblExpense].[Amount].[All]" allUniqueName="[tblExpense].[Amount].[All]" dimensionUniqueName="[tblExpense]" displayFolder="" count="2" memberValueDatatype="20" unbalanced="0"/>
    <cacheHierarchy uniqueName="[tblExpense].[Payment_Mode]" caption="Payment_Mode" attribute="1" defaultMemberUniqueName="[tblExpense].[Payment_Mode].[All]" allUniqueName="[tblExpense].[Payment_Mode].[All]" dimensionUniqueName="[tblExpense]" displayFolder="" count="2" memberValueDatatype="130" unbalanced="0"/>
    <cacheHierarchy uniqueName="[tblExpense].[month]" caption="month" attribute="1" defaultMemberUniqueName="[tblExpense].[month].[All]" allUniqueName="[tblExpense].[month].[All]" dimensionUniqueName="[tblExpense]" displayFolder="" count="2" memberValueDatatype="130" unbalanced="0">
      <fieldsUsage count="2">
        <fieldUsage x="-1"/>
        <fieldUsage x="1"/>
      </fieldsUsage>
    </cacheHierarchy>
    <cacheHierarchy uniqueName="[tblExpense].[Day]" caption="Day" attribute="1" defaultMemberUniqueName="[tblExpense].[Day].[All]" allUniqueName="[tblExpense].[Day].[All]" dimensionUniqueName="[tblExpense]" displayFolder="" count="2" memberValueDatatype="20" unbalanced="0"/>
    <cacheHierarchy uniqueName="[Measures].[__XL_Count Category_List]" caption="__XL_Count Category_List" measure="1" displayFolder="" measureGroup="Category_List" count="0" hidden="1"/>
    <cacheHierarchy uniqueName="[Measures].[__XL_Count Payment_mode_List]" caption="__XL_Count Payment_mode_List" measure="1" displayFolder="" measureGroup="Payment_mode_List" count="0" hidden="1"/>
    <cacheHierarchy uniqueName="[Measures].[__XL_Count tblExpense]" caption="__XL_Count tblExpense" measure="1" displayFolder="" measureGroup="tblExpense" count="0" hidden="1"/>
    <cacheHierarchy uniqueName="[Measures].[__No measures defined]" caption="__No measures defined" measure="1" displayFolder="" count="0" hidden="1"/>
    <cacheHierarchy uniqueName="[Measures].[Sum of Amount]" caption="Sum of Amount" measure="1" displayFolder="" measureGroup="tblExpense" count="0" oneField="1" hidden="1">
      <fieldsUsage count="1">
        <fieldUsage x="0"/>
      </fieldsUsage>
      <extLst>
        <ext xmlns:x15="http://schemas.microsoft.com/office/spreadsheetml/2010/11/main" uri="{B97F6D7D-B522-45F9-BDA1-12C45D357490}">
          <x15:cacheHierarchy aggregatedColumn="5"/>
        </ext>
      </extLst>
    </cacheHierarchy>
    <cacheHierarchy uniqueName="[Measures].[Average of Amount]" caption="Average of Amount" measure="1" displayFolder="" measureGroup="tblExpense" count="0" hidden="1">
      <extLst>
        <ext xmlns:x15="http://schemas.microsoft.com/office/spreadsheetml/2010/11/main" uri="{B97F6D7D-B522-45F9-BDA1-12C45D357490}">
          <x15:cacheHierarchy aggregatedColumn="5"/>
        </ext>
      </extLst>
    </cacheHierarchy>
  </cacheHierarchies>
  <kpis count="0"/>
  <dimensions count="4">
    <dimension name="Category_List" uniqueName="[Category_List]" caption="Category_List"/>
    <dimension measure="1" name="Measures" uniqueName="[Measures]" caption="Measures"/>
    <dimension name="Payment_mode_List" uniqueName="[Payment_mode_List]" caption="Payment_mode_List"/>
    <dimension name="tblExpense" uniqueName="[tblExpense]" caption="tblExpense"/>
  </dimensions>
  <measureGroups count="3">
    <measureGroup name="Category_List" caption="Category_List"/>
    <measureGroup name="Payment_mode_List" caption="Payment_mode_List"/>
    <measureGroup name="tblExpense" caption="tblExpense"/>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7.499412384263" backgroundQuery="1" createdVersion="8" refreshedVersion="8" minRefreshableVersion="3" recordCount="0" supportSubquery="1" supportAdvancedDrill="1" xr:uid="{13A106EB-19E9-44CD-BDEE-58F830001141}">
  <cacheSource type="external" connectionId="7"/>
  <cacheFields count="2">
    <cacheField name="[Measures].[Sum of Amount]" caption="Sum of Amount" numFmtId="0" hierarchy="13" level="32767"/>
    <cacheField name="[tblExpense].[month].[month]" caption="month" numFmtId="0" hierarchy="7" level="1">
      <sharedItems containsSemiMixedTypes="0" containsNonDate="0" containsString="0"/>
    </cacheField>
  </cacheFields>
  <cacheHierarchies count="15">
    <cacheHierarchy uniqueName="[Category_List].[Categories]" caption="Categories" attribute="1" defaultMemberUniqueName="[Category_List].[Categories].[All]" allUniqueName="[Category_List].[Categories].[All]" dimensionUniqueName="[Category_List]" displayFolder="" count="0" memberValueDatatype="130" unbalanced="0"/>
    <cacheHierarchy uniqueName="[Payment_mode_List].[Payment Mode]" caption="Payment Mode" attribute="1" defaultMemberUniqueName="[Payment_mode_List].[Payment Mode].[All]" allUniqueName="[Payment_mode_List].[Payment Mode].[All]" dimensionUniqueName="[Payment_mode_List]" displayFolder="" count="2" memberValueDatatype="130" unbalanced="0"/>
    <cacheHierarchy uniqueName="[tblExpense].[Date]" caption="Date" attribute="1" time="1" defaultMemberUniqueName="[tblExpense].[Date].[All]" allUniqueName="[tblExpense].[Date].[All]" dimensionUniqueName="[tblExpense]" displayFolder="" count="0" memberValueDatatype="7" unbalanced="0"/>
    <cacheHierarchy uniqueName="[tblExpense].[Description]" caption="Description" attribute="1" defaultMemberUniqueName="[tblExpense].[Description].[All]" allUniqueName="[tblExpense].[Description].[All]" dimensionUniqueName="[tblExpense]" displayFolder="" count="0" memberValueDatatype="130" unbalanced="0"/>
    <cacheHierarchy uniqueName="[tblExpense].[Category]" caption="Category" attribute="1" defaultMemberUniqueName="[tblExpense].[Category].[All]" allUniqueName="[tblExpense].[Category].[All]" dimensionUniqueName="[tblExpense]" displayFolder="" count="2" memberValueDatatype="130" unbalanced="0"/>
    <cacheHierarchy uniqueName="[tblExpense].[Amount]" caption="Amount" attribute="1" defaultMemberUniqueName="[tblExpense].[Amount].[All]" allUniqueName="[tblExpense].[Amount].[All]" dimensionUniqueName="[tblExpense]" displayFolder="" count="0" memberValueDatatype="20" unbalanced="0"/>
    <cacheHierarchy uniqueName="[tblExpense].[Payment_Mode]" caption="Payment_Mode" attribute="1" defaultMemberUniqueName="[tblExpense].[Payment_Mode].[All]" allUniqueName="[tblExpense].[Payment_Mode].[All]" dimensionUniqueName="[tblExpense]" displayFolder="" count="0" memberValueDatatype="130" unbalanced="0"/>
    <cacheHierarchy uniqueName="[tblExpense].[month]" caption="month" attribute="1" defaultMemberUniqueName="[tblExpense].[month].[All]" allUniqueName="[tblExpense].[month].[All]" dimensionUniqueName="[tblExpense]" displayFolder="" count="2" memberValueDatatype="130" unbalanced="0">
      <fieldsUsage count="2">
        <fieldUsage x="-1"/>
        <fieldUsage x="1"/>
      </fieldsUsage>
    </cacheHierarchy>
    <cacheHierarchy uniqueName="[tblExpense].[Day]" caption="Day" attribute="1" defaultMemberUniqueName="[tblExpense].[Day].[All]" allUniqueName="[tblExpense].[Day].[All]" dimensionUniqueName="[tblExpense]" displayFolder="" count="0" memberValueDatatype="20" unbalanced="0"/>
    <cacheHierarchy uniqueName="[Measures].[__XL_Count Category_List]" caption="__XL_Count Category_List" measure="1" displayFolder="" measureGroup="Category_List" count="0" hidden="1"/>
    <cacheHierarchy uniqueName="[Measures].[__XL_Count Payment_mode_List]" caption="__XL_Count Payment_mode_List" measure="1" displayFolder="" measureGroup="Payment_mode_List" count="0" hidden="1"/>
    <cacheHierarchy uniqueName="[Measures].[__XL_Count tblExpense]" caption="__XL_Count tblExpense" measure="1" displayFolder="" measureGroup="tblExpense" count="0" hidden="1"/>
    <cacheHierarchy uniqueName="[Measures].[__No measures defined]" caption="__No measures defined" measure="1" displayFolder="" count="0" hidden="1"/>
    <cacheHierarchy uniqueName="[Measures].[Sum of Amount]" caption="Sum of Amount" measure="1" displayFolder="" measureGroup="tblExpense" count="0" oneField="1" hidden="1">
      <fieldsUsage count="1">
        <fieldUsage x="0"/>
      </fieldsUsage>
      <extLst>
        <ext xmlns:x15="http://schemas.microsoft.com/office/spreadsheetml/2010/11/main" uri="{B97F6D7D-B522-45F9-BDA1-12C45D357490}">
          <x15:cacheHierarchy aggregatedColumn="5"/>
        </ext>
      </extLst>
    </cacheHierarchy>
    <cacheHierarchy uniqueName="[Measures].[Average of Amount]" caption="Average of Amount" measure="1" displayFolder="" measureGroup="tblExpense" count="0" hidden="1">
      <extLst>
        <ext xmlns:x15="http://schemas.microsoft.com/office/spreadsheetml/2010/11/main" uri="{B97F6D7D-B522-45F9-BDA1-12C45D357490}">
          <x15:cacheHierarchy aggregatedColumn="5"/>
        </ext>
      </extLst>
    </cacheHierarchy>
  </cacheHierarchies>
  <kpis count="0"/>
  <dimensions count="4">
    <dimension name="Category_List" uniqueName="[Category_List]" caption="Category_List"/>
    <dimension measure="1" name="Measures" uniqueName="[Measures]" caption="Measures"/>
    <dimension name="Payment_mode_List" uniqueName="[Payment_mode_List]" caption="Payment_mode_List"/>
    <dimension name="tblExpense" uniqueName="[tblExpense]" caption="tblExpense"/>
  </dimensions>
  <measureGroups count="3">
    <measureGroup name="Category_List" caption="Category_List"/>
    <measureGroup name="Payment_mode_List" caption="Payment_mode_List"/>
    <measureGroup name="tblExpense" caption="tblExpense"/>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7.499412500001" backgroundQuery="1" createdVersion="8" refreshedVersion="8" minRefreshableVersion="3" recordCount="0" supportSubquery="1" supportAdvancedDrill="1" xr:uid="{DB232FCB-E3E5-4CA8-9723-E923A9427B5B}">
  <cacheSource type="external" connectionId="7"/>
  <cacheFields count="2">
    <cacheField name="[Measures].[Average of Amount]" caption="Average of Amount" numFmtId="0" hierarchy="14" level="32767"/>
    <cacheField name="[tblExpense].[month].[month]" caption="month" numFmtId="0" hierarchy="7" level="1">
      <sharedItems containsSemiMixedTypes="0" containsNonDate="0" containsString="0"/>
    </cacheField>
  </cacheFields>
  <cacheHierarchies count="15">
    <cacheHierarchy uniqueName="[Category_List].[Categories]" caption="Categories" attribute="1" defaultMemberUniqueName="[Category_List].[Categories].[All]" allUniqueName="[Category_List].[Categories].[All]" dimensionUniqueName="[Category_List]" displayFolder="" count="0" memberValueDatatype="130" unbalanced="0"/>
    <cacheHierarchy uniqueName="[Payment_mode_List].[Payment Mode]" caption="Payment Mode" attribute="1" defaultMemberUniqueName="[Payment_mode_List].[Payment Mode].[All]" allUniqueName="[Payment_mode_List].[Payment Mode].[All]" dimensionUniqueName="[Payment_mode_List]" displayFolder="" count="2" memberValueDatatype="130" unbalanced="0"/>
    <cacheHierarchy uniqueName="[tblExpense].[Date]" caption="Date" attribute="1" time="1" defaultMemberUniqueName="[tblExpense].[Date].[All]" allUniqueName="[tblExpense].[Date].[All]" dimensionUniqueName="[tblExpense]" displayFolder="" count="0" memberValueDatatype="7" unbalanced="0"/>
    <cacheHierarchy uniqueName="[tblExpense].[Description]" caption="Description" attribute="1" defaultMemberUniqueName="[tblExpense].[Description].[All]" allUniqueName="[tblExpense].[Description].[All]" dimensionUniqueName="[tblExpense]" displayFolder="" count="0" memberValueDatatype="130" unbalanced="0"/>
    <cacheHierarchy uniqueName="[tblExpense].[Category]" caption="Category" attribute="1" defaultMemberUniqueName="[tblExpense].[Category].[All]" allUniqueName="[tblExpense].[Category].[All]" dimensionUniqueName="[tblExpense]" displayFolder="" count="2" memberValueDatatype="130" unbalanced="0"/>
    <cacheHierarchy uniqueName="[tblExpense].[Amount]" caption="Amount" attribute="1" defaultMemberUniqueName="[tblExpense].[Amount].[All]" allUniqueName="[tblExpense].[Amount].[All]" dimensionUniqueName="[tblExpense]" displayFolder="" count="0" memberValueDatatype="20" unbalanced="0"/>
    <cacheHierarchy uniqueName="[tblExpense].[Payment_Mode]" caption="Payment_Mode" attribute="1" defaultMemberUniqueName="[tblExpense].[Payment_Mode].[All]" allUniqueName="[tblExpense].[Payment_Mode].[All]" dimensionUniqueName="[tblExpense]" displayFolder="" count="0" memberValueDatatype="130" unbalanced="0"/>
    <cacheHierarchy uniqueName="[tblExpense].[month]" caption="month" attribute="1" defaultMemberUniqueName="[tblExpense].[month].[All]" allUniqueName="[tblExpense].[month].[All]" dimensionUniqueName="[tblExpense]" displayFolder="" count="2" memberValueDatatype="130" unbalanced="0">
      <fieldsUsage count="2">
        <fieldUsage x="-1"/>
        <fieldUsage x="1"/>
      </fieldsUsage>
    </cacheHierarchy>
    <cacheHierarchy uniqueName="[tblExpense].[Day]" caption="Day" attribute="1" defaultMemberUniqueName="[tblExpense].[Day].[All]" allUniqueName="[tblExpense].[Day].[All]" dimensionUniqueName="[tblExpense]" displayFolder="" count="0" memberValueDatatype="20" unbalanced="0"/>
    <cacheHierarchy uniqueName="[Measures].[__XL_Count Category_List]" caption="__XL_Count Category_List" measure="1" displayFolder="" measureGroup="Category_List" count="0" hidden="1"/>
    <cacheHierarchy uniqueName="[Measures].[__XL_Count Payment_mode_List]" caption="__XL_Count Payment_mode_List" measure="1" displayFolder="" measureGroup="Payment_mode_List" count="0" hidden="1"/>
    <cacheHierarchy uniqueName="[Measures].[__XL_Count tblExpense]" caption="__XL_Count tblExpense" measure="1" displayFolder="" measureGroup="tblExpense" count="0" hidden="1"/>
    <cacheHierarchy uniqueName="[Measures].[__No measures defined]" caption="__No measures defined" measure="1" displayFolder="" count="0" hidden="1"/>
    <cacheHierarchy uniqueName="[Measures].[Sum of Amount]" caption="Sum of Amount" measure="1" displayFolder="" measureGroup="tblExpense" count="0" hidden="1">
      <extLst>
        <ext xmlns:x15="http://schemas.microsoft.com/office/spreadsheetml/2010/11/main" uri="{B97F6D7D-B522-45F9-BDA1-12C45D357490}">
          <x15:cacheHierarchy aggregatedColumn="5"/>
        </ext>
      </extLst>
    </cacheHierarchy>
    <cacheHierarchy uniqueName="[Measures].[Average of Amount]" caption="Average of Amount" measure="1" displayFolder="" measureGroup="tblExpense"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4">
    <dimension name="Category_List" uniqueName="[Category_List]" caption="Category_List"/>
    <dimension measure="1" name="Measures" uniqueName="[Measures]" caption="Measures"/>
    <dimension name="Payment_mode_List" uniqueName="[Payment_mode_List]" caption="Payment_mode_List"/>
    <dimension name="tblExpense" uniqueName="[tblExpense]" caption="tblExpense"/>
  </dimensions>
  <measureGroups count="3">
    <measureGroup name="Category_List" caption="Category_List"/>
    <measureGroup name="Payment_mode_List" caption="Payment_mode_List"/>
    <measureGroup name="tblExpense" caption="tblExpense"/>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7.499412731479" backgroundQuery="1" createdVersion="8" refreshedVersion="8" minRefreshableVersion="3" recordCount="0" supportSubquery="1" supportAdvancedDrill="1" xr:uid="{75BE0AD8-8A1B-47A7-8C21-2225BA87F9DC}">
  <cacheSource type="external" connectionId="7"/>
  <cacheFields count="3">
    <cacheField name="[Category_List].[Categories].[Categories]" caption="Categories" numFmtId="0" level="1">
      <sharedItems count="7">
        <s v="Entertainment"/>
        <s v="Food"/>
        <s v="Healthcare"/>
        <s v="Housing"/>
        <s v="Shopping"/>
        <s v="Travel"/>
        <s v="Utilities"/>
      </sharedItems>
    </cacheField>
    <cacheField name="[Measures].[Sum of Amount]" caption="Sum of Amount" numFmtId="0" hierarchy="13" level="32767"/>
    <cacheField name="[tblExpense].[month].[month]" caption="month" numFmtId="0" hierarchy="7" level="1">
      <sharedItems containsSemiMixedTypes="0" containsNonDate="0" containsString="0"/>
    </cacheField>
  </cacheFields>
  <cacheHierarchies count="15">
    <cacheHierarchy uniqueName="[Category_List].[Categories]" caption="Categories" attribute="1" defaultMemberUniqueName="[Category_List].[Categories].[All]" allUniqueName="[Category_List].[Categories].[All]" dimensionUniqueName="[Category_List]" displayFolder="" count="2" memberValueDatatype="130" unbalanced="0">
      <fieldsUsage count="2">
        <fieldUsage x="-1"/>
        <fieldUsage x="0"/>
      </fieldsUsage>
    </cacheHierarchy>
    <cacheHierarchy uniqueName="[Payment_mode_List].[Payment Mode]" caption="Payment Mode" attribute="1" defaultMemberUniqueName="[Payment_mode_List].[Payment Mode].[All]" allUniqueName="[Payment_mode_List].[Payment Mode].[All]" dimensionUniqueName="[Payment_mode_List]" displayFolder="" count="2" memberValueDatatype="130" unbalanced="0"/>
    <cacheHierarchy uniqueName="[tblExpense].[Date]" caption="Date" attribute="1" time="1" defaultMemberUniqueName="[tblExpense].[Date].[All]" allUniqueName="[tblExpense].[Date].[All]" dimensionUniqueName="[tblExpense]" displayFolder="" count="2" memberValueDatatype="7" unbalanced="0"/>
    <cacheHierarchy uniqueName="[tblExpense].[Description]" caption="Description" attribute="1" defaultMemberUniqueName="[tblExpense].[Description].[All]" allUniqueName="[tblExpense].[Description].[All]" dimensionUniqueName="[tblExpense]" displayFolder="" count="2" memberValueDatatype="130" unbalanced="0"/>
    <cacheHierarchy uniqueName="[tblExpense].[Category]" caption="Category" attribute="1" defaultMemberUniqueName="[tblExpense].[Category].[All]" allUniqueName="[tblExpense].[Category].[All]" dimensionUniqueName="[tblExpense]" displayFolder="" count="2" memberValueDatatype="130" unbalanced="0"/>
    <cacheHierarchy uniqueName="[tblExpense].[Amount]" caption="Amount" attribute="1" defaultMemberUniqueName="[tblExpense].[Amount].[All]" allUniqueName="[tblExpense].[Amount].[All]" dimensionUniqueName="[tblExpense]" displayFolder="" count="2" memberValueDatatype="20" unbalanced="0"/>
    <cacheHierarchy uniqueName="[tblExpense].[Payment_Mode]" caption="Payment_Mode" attribute="1" defaultMemberUniqueName="[tblExpense].[Payment_Mode].[All]" allUniqueName="[tblExpense].[Payment_Mode].[All]" dimensionUniqueName="[tblExpense]" displayFolder="" count="2" memberValueDatatype="130" unbalanced="0"/>
    <cacheHierarchy uniqueName="[tblExpense].[month]" caption="month" attribute="1" defaultMemberUniqueName="[tblExpense].[month].[All]" allUniqueName="[tblExpense].[month].[All]" dimensionUniqueName="[tblExpense]" displayFolder="" count="2" memberValueDatatype="130" unbalanced="0">
      <fieldsUsage count="2">
        <fieldUsage x="-1"/>
        <fieldUsage x="2"/>
      </fieldsUsage>
    </cacheHierarchy>
    <cacheHierarchy uniqueName="[tblExpense].[Day]" caption="Day" attribute="1" defaultMemberUniqueName="[tblExpense].[Day].[All]" allUniqueName="[tblExpense].[Day].[All]" dimensionUniqueName="[tblExpense]" displayFolder="" count="2" memberValueDatatype="20" unbalanced="0"/>
    <cacheHierarchy uniqueName="[Measures].[__XL_Count Category_List]" caption="__XL_Count Category_List" measure="1" displayFolder="" measureGroup="Category_List" count="0" hidden="1"/>
    <cacheHierarchy uniqueName="[Measures].[__XL_Count Payment_mode_List]" caption="__XL_Count Payment_mode_List" measure="1" displayFolder="" measureGroup="Payment_mode_List" count="0" hidden="1"/>
    <cacheHierarchy uniqueName="[Measures].[__XL_Count tblExpense]" caption="__XL_Count tblExpense" measure="1" displayFolder="" measureGroup="tblExpense" count="0" hidden="1"/>
    <cacheHierarchy uniqueName="[Measures].[__No measures defined]" caption="__No measures defined" measure="1" displayFolder="" count="0" hidden="1"/>
    <cacheHierarchy uniqueName="[Measures].[Sum of Amount]" caption="Sum of Amount" measure="1" displayFolder="" measureGroup="tblExpense" count="0" oneField="1" hidden="1">
      <fieldsUsage count="1">
        <fieldUsage x="1"/>
      </fieldsUsage>
      <extLst>
        <ext xmlns:x15="http://schemas.microsoft.com/office/spreadsheetml/2010/11/main" uri="{B97F6D7D-B522-45F9-BDA1-12C45D357490}">
          <x15:cacheHierarchy aggregatedColumn="5"/>
        </ext>
      </extLst>
    </cacheHierarchy>
    <cacheHierarchy uniqueName="[Measures].[Average of Amount]" caption="Average of Amount" measure="1" displayFolder="" measureGroup="tblExpense" count="0" hidden="1">
      <extLst>
        <ext xmlns:x15="http://schemas.microsoft.com/office/spreadsheetml/2010/11/main" uri="{B97F6D7D-B522-45F9-BDA1-12C45D357490}">
          <x15:cacheHierarchy aggregatedColumn="5"/>
        </ext>
      </extLst>
    </cacheHierarchy>
  </cacheHierarchies>
  <kpis count="0"/>
  <dimensions count="4">
    <dimension name="Category_List" uniqueName="[Category_List]" caption="Category_List"/>
    <dimension measure="1" name="Measures" uniqueName="[Measures]" caption="Measures"/>
    <dimension name="Payment_mode_List" uniqueName="[Payment_mode_List]" caption="Payment_mode_List"/>
    <dimension name="tblExpense" uniqueName="[tblExpense]" caption="tblExpense"/>
  </dimensions>
  <measureGroups count="3">
    <measureGroup name="Category_List" caption="Category_List"/>
    <measureGroup name="Payment_mode_List" caption="Payment_mode_List"/>
    <measureGroup name="tblExpense" caption="tblExpense"/>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7.499413194448" backgroundQuery="1" createdVersion="8" refreshedVersion="8" minRefreshableVersion="3" recordCount="0" supportSubquery="1" supportAdvancedDrill="1" xr:uid="{3984BF30-D5FE-4D18-8185-4756E5238815}">
  <cacheSource type="external" connectionId="7"/>
  <cacheFields count="3">
    <cacheField name="[Measures].[Sum of Amount]" caption="Sum of Amount" numFmtId="0" hierarchy="13" level="32767"/>
    <cacheField name="[Payment_mode_List].[Payment Mode].[Payment Mode]" caption="Payment Mode" numFmtId="0" hierarchy="1" level="1">
      <sharedItems count="4">
        <s v="Card"/>
        <s v="Cash"/>
        <s v="NetBanking"/>
        <s v="UPI"/>
      </sharedItems>
    </cacheField>
    <cacheField name="[tblExpense].[month].[month]" caption="month" numFmtId="0" hierarchy="7" level="1">
      <sharedItems containsSemiMixedTypes="0" containsNonDate="0" containsString="0"/>
    </cacheField>
  </cacheFields>
  <cacheHierarchies count="15">
    <cacheHierarchy uniqueName="[Category_List].[Categories]" caption="Categories" attribute="1" defaultMemberUniqueName="[Category_List].[Categories].[All]" allUniqueName="[Category_List].[Categories].[All]" dimensionUniqueName="[Category_List]" displayFolder="" count="2" memberValueDatatype="130" unbalanced="0"/>
    <cacheHierarchy uniqueName="[Payment_mode_List].[Payment Mode]" caption="Payment Mode" attribute="1" defaultMemberUniqueName="[Payment_mode_List].[Payment Mode].[All]" allUniqueName="[Payment_mode_List].[Payment Mode].[All]" dimensionUniqueName="[Payment_mode_List]" displayFolder="" count="2" memberValueDatatype="130" unbalanced="0">
      <fieldsUsage count="2">
        <fieldUsage x="-1"/>
        <fieldUsage x="1"/>
      </fieldsUsage>
    </cacheHierarchy>
    <cacheHierarchy uniqueName="[tblExpense].[Date]" caption="Date" attribute="1" time="1" defaultMemberUniqueName="[tblExpense].[Date].[All]" allUniqueName="[tblExpense].[Date].[All]" dimensionUniqueName="[tblExpense]" displayFolder="" count="2" memberValueDatatype="7" unbalanced="0"/>
    <cacheHierarchy uniqueName="[tblExpense].[Description]" caption="Description" attribute="1" defaultMemberUniqueName="[tblExpense].[Description].[All]" allUniqueName="[tblExpense].[Description].[All]" dimensionUniqueName="[tblExpense]" displayFolder="" count="2" memberValueDatatype="130" unbalanced="0"/>
    <cacheHierarchy uniqueName="[tblExpense].[Category]" caption="Category" attribute="1" defaultMemberUniqueName="[tblExpense].[Category].[All]" allUniqueName="[tblExpense].[Category].[All]" dimensionUniqueName="[tblExpense]" displayFolder="" count="2" memberValueDatatype="130" unbalanced="0"/>
    <cacheHierarchy uniqueName="[tblExpense].[Amount]" caption="Amount" attribute="1" defaultMemberUniqueName="[tblExpense].[Amount].[All]" allUniqueName="[tblExpense].[Amount].[All]" dimensionUniqueName="[tblExpense]" displayFolder="" count="2" memberValueDatatype="20" unbalanced="0"/>
    <cacheHierarchy uniqueName="[tblExpense].[Payment_Mode]" caption="Payment_Mode" attribute="1" defaultMemberUniqueName="[tblExpense].[Payment_Mode].[All]" allUniqueName="[tblExpense].[Payment_Mode].[All]" dimensionUniqueName="[tblExpense]" displayFolder="" count="2" memberValueDatatype="130" unbalanced="0"/>
    <cacheHierarchy uniqueName="[tblExpense].[month]" caption="month" attribute="1" defaultMemberUniqueName="[tblExpense].[month].[All]" allUniqueName="[tblExpense].[month].[All]" dimensionUniqueName="[tblExpense]" displayFolder="" count="2" memberValueDatatype="130" unbalanced="0">
      <fieldsUsage count="2">
        <fieldUsage x="-1"/>
        <fieldUsage x="2"/>
      </fieldsUsage>
    </cacheHierarchy>
    <cacheHierarchy uniqueName="[tblExpense].[Day]" caption="Day" attribute="1" defaultMemberUniqueName="[tblExpense].[Day].[All]" allUniqueName="[tblExpense].[Day].[All]" dimensionUniqueName="[tblExpense]" displayFolder="" count="2" memberValueDatatype="20" unbalanced="0"/>
    <cacheHierarchy uniqueName="[Measures].[__XL_Count Category_List]" caption="__XL_Count Category_List" measure="1" displayFolder="" measureGroup="Category_List" count="0" hidden="1"/>
    <cacheHierarchy uniqueName="[Measures].[__XL_Count Payment_mode_List]" caption="__XL_Count Payment_mode_List" measure="1" displayFolder="" measureGroup="Payment_mode_List" count="0" hidden="1"/>
    <cacheHierarchy uniqueName="[Measures].[__XL_Count tblExpense]" caption="__XL_Count tblExpense" measure="1" displayFolder="" measureGroup="tblExpense" count="0" hidden="1"/>
    <cacheHierarchy uniqueName="[Measures].[__No measures defined]" caption="__No measures defined" measure="1" displayFolder="" count="0" hidden="1"/>
    <cacheHierarchy uniqueName="[Measures].[Sum of Amount]" caption="Sum of Amount" measure="1" displayFolder="" measureGroup="tblExpense" count="0" oneField="1" hidden="1">
      <fieldsUsage count="1">
        <fieldUsage x="0"/>
      </fieldsUsage>
      <extLst>
        <ext xmlns:x15="http://schemas.microsoft.com/office/spreadsheetml/2010/11/main" uri="{B97F6D7D-B522-45F9-BDA1-12C45D357490}">
          <x15:cacheHierarchy aggregatedColumn="5"/>
        </ext>
      </extLst>
    </cacheHierarchy>
    <cacheHierarchy uniqueName="[Measures].[Average of Amount]" caption="Average of Amount" measure="1" displayFolder="" measureGroup="tblExpense" count="0" hidden="1">
      <extLst>
        <ext xmlns:x15="http://schemas.microsoft.com/office/spreadsheetml/2010/11/main" uri="{B97F6D7D-B522-45F9-BDA1-12C45D357490}">
          <x15:cacheHierarchy aggregatedColumn="5"/>
        </ext>
      </extLst>
    </cacheHierarchy>
  </cacheHierarchies>
  <kpis count="0"/>
  <dimensions count="4">
    <dimension name="Category_List" uniqueName="[Category_List]" caption="Category_List"/>
    <dimension measure="1" name="Measures" uniqueName="[Measures]" caption="Measures"/>
    <dimension name="Payment_mode_List" uniqueName="[Payment_mode_List]" caption="Payment_mode_List"/>
    <dimension name="tblExpense" uniqueName="[tblExpense]" caption="tblExpense"/>
  </dimensions>
  <measureGroups count="3">
    <measureGroup name="Category_List" caption="Category_List"/>
    <measureGroup name="Payment_mode_List" caption="Payment_mode_List"/>
    <measureGroup name="tblExpense" caption="tblExpense"/>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5.446082291666" backgroundQuery="1" createdVersion="3" refreshedVersion="8" minRefreshableVersion="3" recordCount="0" supportSubquery="1" supportAdvancedDrill="1" xr:uid="{12B3690C-5B8E-4AFA-B333-A910DF009998}">
  <cacheSource type="external" connectionId="7">
    <extLst>
      <ext xmlns:x14="http://schemas.microsoft.com/office/spreadsheetml/2009/9/main" uri="{F057638F-6D5F-4e77-A914-E7F072B9BCA8}">
        <x14:sourceConnection name="ThisWorkbookDataModel"/>
      </ext>
    </extLst>
  </cacheSource>
  <cacheFields count="0"/>
  <cacheHierarchies count="15">
    <cacheHierarchy uniqueName="[Category_List].[Categories]" caption="Categories" attribute="1" defaultMemberUniqueName="[Category_List].[Categories].[All]" allUniqueName="[Category_List].[Categories].[All]" dimensionUniqueName="[Category_List]" displayFolder="" count="0" memberValueDatatype="130" unbalanced="0"/>
    <cacheHierarchy uniqueName="[Payment_mode_List].[Payment Mode]" caption="Payment Mode" attribute="1" defaultMemberUniqueName="[Payment_mode_List].[Payment Mode].[All]" allUniqueName="[Payment_mode_List].[Payment Mode].[All]" dimensionUniqueName="[Payment_mode_List]" displayFolder="" count="2" memberValueDatatype="130" unbalanced="0"/>
    <cacheHierarchy uniqueName="[tblExpense].[Date]" caption="Date" attribute="1" time="1" defaultMemberUniqueName="[tblExpense].[Date].[All]" allUniqueName="[tblExpense].[Date].[All]" dimensionUniqueName="[tblExpense]" displayFolder="" count="0" memberValueDatatype="7" unbalanced="0"/>
    <cacheHierarchy uniqueName="[tblExpense].[Description]" caption="Description" attribute="1" defaultMemberUniqueName="[tblExpense].[Description].[All]" allUniqueName="[tblExpense].[Description].[All]" dimensionUniqueName="[tblExpense]" displayFolder="" count="0" memberValueDatatype="130" unbalanced="0"/>
    <cacheHierarchy uniqueName="[tblExpense].[Category]" caption="Category" attribute="1" defaultMemberUniqueName="[tblExpense].[Category].[All]" allUniqueName="[tblExpense].[Category].[All]" dimensionUniqueName="[tblExpense]" displayFolder="" count="2" memberValueDatatype="130" unbalanced="0"/>
    <cacheHierarchy uniqueName="[tblExpense].[Amount]" caption="Amount" attribute="1" defaultMemberUniqueName="[tblExpense].[Amount].[All]" allUniqueName="[tblExpense].[Amount].[All]" dimensionUniqueName="[tblExpense]" displayFolder="" count="0" memberValueDatatype="20" unbalanced="0"/>
    <cacheHierarchy uniqueName="[tblExpense].[Payment_Mode]" caption="Payment_Mode" attribute="1" defaultMemberUniqueName="[tblExpense].[Payment_Mode].[All]" allUniqueName="[tblExpense].[Payment_Mode].[All]" dimensionUniqueName="[tblExpense]" displayFolder="" count="0" memberValueDatatype="130" unbalanced="0"/>
    <cacheHierarchy uniqueName="[tblExpense].[month]" caption="month" attribute="1" defaultMemberUniqueName="[tblExpense].[month].[All]" allUniqueName="[tblExpense].[month].[All]" dimensionUniqueName="[tblExpense]" displayFolder="" count="2" memberValueDatatype="130" unbalanced="0"/>
    <cacheHierarchy uniqueName="[tblExpense].[Day]" caption="Day" attribute="1" defaultMemberUniqueName="[tblExpense].[Day].[All]" allUniqueName="[tblExpense].[Day].[All]" dimensionUniqueName="[tblExpense]" displayFolder="" count="0" memberValueDatatype="20" unbalanced="0"/>
    <cacheHierarchy uniqueName="[Measures].[__XL_Count Category_List]" caption="__XL_Count Category_List" measure="1" displayFolder="" measureGroup="Category_List" count="0" hidden="1"/>
    <cacheHierarchy uniqueName="[Measures].[__XL_Count Payment_mode_List]" caption="__XL_Count Payment_mode_List" measure="1" displayFolder="" measureGroup="Payment_mode_List" count="0" hidden="1"/>
    <cacheHierarchy uniqueName="[Measures].[__XL_Count tblExpense]" caption="__XL_Count tblExpense" measure="1" displayFolder="" measureGroup="tblExpense" count="0" hidden="1"/>
    <cacheHierarchy uniqueName="[Measures].[__No measures defined]" caption="__No measures defined" measure="1" displayFolder="" count="0" hidden="1"/>
    <cacheHierarchy uniqueName="[Measures].[Sum of Amount]" caption="Sum of Amount" measure="1" displayFolder="" measureGroup="tblExpense" count="0" hidden="1">
      <extLst>
        <ext xmlns:x15="http://schemas.microsoft.com/office/spreadsheetml/2010/11/main" uri="{B97F6D7D-B522-45F9-BDA1-12C45D357490}">
          <x15:cacheHierarchy aggregatedColumn="5"/>
        </ext>
      </extLst>
    </cacheHierarchy>
    <cacheHierarchy uniqueName="[Measures].[Average of Amount]" caption="Average of Amount" measure="1" displayFolder="" measureGroup="tblExpense"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70473914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8AEC50-3922-4A5E-80F7-26DC76C7BA6E}" name="PivotTable4" cacheId="1650" applyNumberFormats="0" applyBorderFormats="0" applyFontFormats="0" applyPatternFormats="0" applyAlignmentFormats="0" applyWidthHeightFormats="1" dataCaption="Values" tag="68ebabdd-25b9-4137-bf6a-cdccf5f83fd9" updatedVersion="8" minRefreshableVersion="3" useAutoFormatting="1" subtotalHiddenItems="1" itemPrintTitles="1" createdVersion="8" indent="0" outline="1" outlineData="1" multipleFieldFilters="0" chartFormat="22">
  <location ref="F29:G34"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Amount" fld="0" baseField="0" baseItem="0" numFmtId="164"/>
  </dataFields>
  <chartFormats count="4">
    <chartFormat chart="2"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15">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_List]"/>
        <x15:activeTabTopLevelEntity name="[tblExpense]"/>
        <x15:activeTabTopLevelEntity name="[Payment_mode_Li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763A06-883A-416D-9D6C-3048DD007FE1}" name="PivotTable3" cacheId="1647" applyNumberFormats="0" applyBorderFormats="0" applyFontFormats="0" applyPatternFormats="0" applyAlignmentFormats="0" applyWidthHeightFormats="1" dataCaption="Values" tag="43750ebd-79ed-4e8c-84a6-49c593e780ba" updatedVersion="8" minRefreshableVersion="3" useAutoFormatting="1" subtotalHiddenItems="1" itemPrintTitles="1" createdVersion="8" indent="0" outline="1" outlineData="1" multipleFieldFilters="0" chartFormat="26">
  <location ref="F16:G24"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Amount" fld="1" baseField="0" baseItem="0" numFmtId="164"/>
  </dataFields>
  <chartFormats count="10">
    <chartFormat chart="12" format="0"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0"/>
          </reference>
        </references>
      </pivotArea>
    </chartFormat>
    <chartFormat chart="18" format="10">
      <pivotArea type="data" outline="0" fieldPosition="0">
        <references count="2">
          <reference field="4294967294" count="1" selected="0">
            <x v="0"/>
          </reference>
          <reference field="0" count="1" selected="0">
            <x v="0"/>
          </reference>
        </references>
      </pivotArea>
    </chartFormat>
    <chartFormat chart="18" format="11">
      <pivotArea type="data" outline="0" fieldPosition="0">
        <references count="2">
          <reference field="4294967294" count="1" selected="0">
            <x v="0"/>
          </reference>
          <reference field="0" count="1" selected="0">
            <x v="1"/>
          </reference>
        </references>
      </pivotArea>
    </chartFormat>
    <chartFormat chart="18" format="12">
      <pivotArea type="data" outline="0" fieldPosition="0">
        <references count="2">
          <reference field="4294967294" count="1" selected="0">
            <x v="0"/>
          </reference>
          <reference field="0" count="1" selected="0">
            <x v="2"/>
          </reference>
        </references>
      </pivotArea>
    </chartFormat>
    <chartFormat chart="18" format="13">
      <pivotArea type="data" outline="0" fieldPosition="0">
        <references count="2">
          <reference field="4294967294" count="1" selected="0">
            <x v="0"/>
          </reference>
          <reference field="0" count="1" selected="0">
            <x v="3"/>
          </reference>
        </references>
      </pivotArea>
    </chartFormat>
    <chartFormat chart="18" format="14">
      <pivotArea type="data" outline="0" fieldPosition="0">
        <references count="2">
          <reference field="4294967294" count="1" selected="0">
            <x v="0"/>
          </reference>
          <reference field="0" count="1" selected="0">
            <x v="4"/>
          </reference>
        </references>
      </pivotArea>
    </chartFormat>
    <chartFormat chart="18" format="15">
      <pivotArea type="data" outline="0" fieldPosition="0">
        <references count="2">
          <reference field="4294967294" count="1" selected="0">
            <x v="0"/>
          </reference>
          <reference field="0" count="1" selected="0">
            <x v="5"/>
          </reference>
        </references>
      </pivotArea>
    </chartFormat>
    <chartFormat chart="18" format="16">
      <pivotArea type="data" outline="0" fieldPosition="0">
        <references count="2">
          <reference field="4294967294" count="1" selected="0">
            <x v="0"/>
          </reference>
          <reference field="0" count="1" selected="0">
            <x v="6"/>
          </reference>
        </references>
      </pivotArea>
    </chartFormat>
    <chartFormat chart="12" format="1">
      <pivotArea type="data" outline="0" fieldPosition="0">
        <references count="2">
          <reference field="4294967294" count="1" selected="0">
            <x v="0"/>
          </reference>
          <reference field="0" count="1" selected="0">
            <x v="1"/>
          </reference>
        </references>
      </pivotArea>
    </chartFormat>
  </chartFormats>
  <pivotHierarchies count="15">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_List]"/>
        <x15:activeTabTopLevelEntity name="[tblExpen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F828CD-2381-4F8A-9381-840DC4C6AFE5}" name="PivotTable2" cacheId="1644" applyNumberFormats="0" applyBorderFormats="0" applyFontFormats="0" applyPatternFormats="0" applyAlignmentFormats="0" applyWidthHeightFormats="1" dataCaption="Values" tag="7c7d7c8d-cc5d-4d7f-800c-a39a02b0fdd0" updatedVersion="8" minRefreshableVersion="3" useAutoFormatting="1" itemPrintTitles="1" createdVersion="8" indent="0" outline="1" outlineData="1" multipleFieldFilters="0">
  <location ref="F7:F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Amount" fld="0" subtotal="average" baseField="0" baseItem="0" numFmtId="44"/>
  </dataFields>
  <pivotHierarchies count="15">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Expense"/>
    <pivotHierarchy dragToData="1" caption="Average of Amount"/>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Expen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64AB3B-2747-42CB-A11B-610A78E51F26}" name="PivotTable1" cacheId="1641" applyNumberFormats="0" applyBorderFormats="0" applyFontFormats="0" applyPatternFormats="0" applyAlignmentFormats="0" applyWidthHeightFormats="1" dataCaption="Values" tag="4b263447-79ee-4336-91c0-364ca25f2c05" updatedVersion="8" minRefreshableVersion="3" useAutoFormatting="1" itemPrintTitles="1" createdVersion="8" indent="0" outline="1" outlineData="1" multipleFieldFilters="0">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Expense" fld="0" baseField="0" baseItem="0" numFmtId="164"/>
  </dataFields>
  <pivotHierarchies count="15">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Expense"/>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Expen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1D4F95-49A9-4FA3-8C1F-4812D8C88153}" name="PivotTable7" cacheId="1566" applyNumberFormats="0" applyBorderFormats="0" applyFontFormats="0" applyPatternFormats="0" applyAlignmentFormats="0" applyWidthHeightFormats="1" dataCaption="Values" tag="9c8fe2c3-7a7d-4a88-aba4-de6113c41d10" updatedVersion="8" minRefreshableVersion="3" useAutoFormatting="1" subtotalHiddenItems="1" itemPrintTitles="1" createdVersion="8" indent="0" outline="1" outlineData="1" multipleFieldFilters="0" chartFormat="26">
  <location ref="C8:D16"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Amount" fld="1" baseField="0" baseItem="0" numFmtId="164"/>
  </dataFields>
  <chartFormats count="9">
    <chartFormat chart="12" format="0"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0"/>
          </reference>
        </references>
      </pivotArea>
    </chartFormat>
    <chartFormat chart="18" format="10">
      <pivotArea type="data" outline="0" fieldPosition="0">
        <references count="2">
          <reference field="4294967294" count="1" selected="0">
            <x v="0"/>
          </reference>
          <reference field="0" count="1" selected="0">
            <x v="0"/>
          </reference>
        </references>
      </pivotArea>
    </chartFormat>
    <chartFormat chart="18" format="11">
      <pivotArea type="data" outline="0" fieldPosition="0">
        <references count="2">
          <reference field="4294967294" count="1" selected="0">
            <x v="0"/>
          </reference>
          <reference field="0" count="1" selected="0">
            <x v="1"/>
          </reference>
        </references>
      </pivotArea>
    </chartFormat>
    <chartFormat chart="18" format="12">
      <pivotArea type="data" outline="0" fieldPosition="0">
        <references count="2">
          <reference field="4294967294" count="1" selected="0">
            <x v="0"/>
          </reference>
          <reference field="0" count="1" selected="0">
            <x v="2"/>
          </reference>
        </references>
      </pivotArea>
    </chartFormat>
    <chartFormat chart="18" format="13">
      <pivotArea type="data" outline="0" fieldPosition="0">
        <references count="2">
          <reference field="4294967294" count="1" selected="0">
            <x v="0"/>
          </reference>
          <reference field="0" count="1" selected="0">
            <x v="3"/>
          </reference>
        </references>
      </pivotArea>
    </chartFormat>
    <chartFormat chart="18" format="14">
      <pivotArea type="data" outline="0" fieldPosition="0">
        <references count="2">
          <reference field="4294967294" count="1" selected="0">
            <x v="0"/>
          </reference>
          <reference field="0" count="1" selected="0">
            <x v="4"/>
          </reference>
        </references>
      </pivotArea>
    </chartFormat>
    <chartFormat chart="18" format="15">
      <pivotArea type="data" outline="0" fieldPosition="0">
        <references count="2">
          <reference field="4294967294" count="1" selected="0">
            <x v="0"/>
          </reference>
          <reference field="0" count="1" selected="0">
            <x v="5"/>
          </reference>
        </references>
      </pivotArea>
    </chartFormat>
    <chartFormat chart="18" format="16">
      <pivotArea type="data" outline="0" fieldPosition="0">
        <references count="2">
          <reference field="4294967294" count="1" selected="0">
            <x v="0"/>
          </reference>
          <reference field="0" count="1" selected="0">
            <x v="6"/>
          </reference>
        </references>
      </pivotArea>
    </chartFormat>
  </chartFormats>
  <pivotHierarchies count="15">
    <pivotHierarchy dragToData="1"/>
    <pivotHierarchy dragToData="1"/>
    <pivotHierarchy dragToData="1"/>
    <pivotHierarchy dragToData="1"/>
    <pivotHierarchy multipleItemSelectionAllowed="1" dragToData="1">
      <members count="1" level="1">
        <member name="[tblExpense].[Category].&amp;[Housing]"/>
      </members>
    </pivotHierarchy>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_List]"/>
        <x15:activeTabTopLevelEntity name="[tblExpen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27EDEC-C7F5-414F-8598-2F290C375B25}" name="PivotTable5" cacheId="1626" applyNumberFormats="0" applyBorderFormats="0" applyFontFormats="0" applyPatternFormats="0" applyAlignmentFormats="0" applyWidthHeightFormats="1" dataCaption="Values" tag="136bfbfb-cc98-44c7-85e8-13c0312a9582" updatedVersion="8" minRefreshableVersion="3" useAutoFormatting="1" subtotalHiddenItems="1" itemPrintTitles="1" createdVersion="8" indent="0" outline="1" outlineData="1" multipleFieldFilters="0" chartFormat="24">
  <location ref="F40:G53"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Amount" fld="0" baseField="0" baseItem="0" numFmtId="164"/>
  </dataFields>
  <chartFormats count="5">
    <chartFormat chart="2"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15">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_List]"/>
        <x15:activeTabTopLevelEntity name="[tblExpense]"/>
        <x15:activeTabTopLevelEntity name="[Payment_mode_Lis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B430C26-B8E1-42BD-970A-6A98897EE265}" autoFormatId="16" applyNumberFormats="0" applyBorderFormats="0" applyFontFormats="0" applyPatternFormats="0" applyAlignmentFormats="0" applyWidthHeightFormats="0">
  <queryTableRefresh nextId="2">
    <queryTableFields count="1">
      <queryTableField id="1" name="Categories" tableColumnId="1"/>
    </queryTableFields>
  </queryTableRefresh>
  <extLst>
    <ext xmlns:x15="http://schemas.microsoft.com/office/spreadsheetml/2010/11/main" uri="{883FBD77-0823-4a55-B5E3-86C4891E6966}">
      <x15:queryTable sourceDataName="Query - Category_Lis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AE31E2CC-1B75-451C-84A2-22EDDD308271}" autoFormatId="16" applyNumberFormats="0" applyBorderFormats="0" applyFontFormats="0" applyPatternFormats="0" applyAlignmentFormats="0" applyWidthHeightFormats="0">
  <queryTableRefresh nextId="2">
    <queryTableFields count="1">
      <queryTableField id="1" name="Payment Mode" tableColumnId="1"/>
    </queryTableFields>
  </queryTableRefresh>
  <extLst>
    <ext xmlns:x15="http://schemas.microsoft.com/office/spreadsheetml/2010/11/main" uri="{883FBD77-0823-4a55-B5E3-86C4891E6966}">
      <x15:queryTable sourceDataName="Query - Payment_mode_List"/>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4F8BF57C-846D-479F-BA4D-089BCC7A6DCF}" autoFormatId="16" applyNumberFormats="0" applyBorderFormats="0" applyFontFormats="0" applyPatternFormats="0" applyAlignmentFormats="0" applyWidthHeightFormats="0">
  <queryTableRefresh nextId="8">
    <queryTableFields count="7">
      <queryTableField id="1" name="Date" tableColumnId="1"/>
      <queryTableField id="2" name="Description" tableColumnId="2"/>
      <queryTableField id="3" name="Category" tableColumnId="3"/>
      <queryTableField id="4" name="Amount" tableColumnId="4"/>
      <queryTableField id="5" name="Payment_Mode" tableColumnId="5"/>
      <queryTableField id="6" name="month" tableColumnId="6"/>
      <queryTableField id="7" name="Day" tableColumnId="7"/>
    </queryTableFields>
  </queryTableRefresh>
  <extLst>
    <ext xmlns:x15="http://schemas.microsoft.com/office/spreadsheetml/2010/11/main" uri="{883FBD77-0823-4a55-B5E3-86C4891E6966}">
      <x15:queryTable sourceDataName="Query - tblExpens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99DC758-F8B1-42C3-BD53-D91F42330CEE}" sourceName="[tblExpense].[Category]">
  <pivotTables>
    <pivotTable tabId="1" name="PivotTable1"/>
    <pivotTable tabId="1" name="PivotTable2"/>
    <pivotTable tabId="1" name="PivotTable4"/>
    <pivotTable tabId="1" name="PivotTable5"/>
  </pivotTables>
  <data>
    <olap pivotCacheId="1704739145">
      <levels count="2">
        <level uniqueName="[tblExpense].[Category].[(All)]" sourceCaption="(All)" count="0"/>
        <level uniqueName="[tblExpense].[Category].[Category]" sourceCaption="Category" count="7">
          <ranges>
            <range startItem="0">
              <i n="[tblExpense].[Category].&amp;[Entertainment]" c="Entertainment"/>
              <i n="[tblExpense].[Category].&amp;[Food]" c="Food"/>
              <i n="[tblExpense].[Category].&amp;[Healthcare]" c="Healthcare"/>
              <i n="[tblExpense].[Category].&amp;[Housing]" c="Housing"/>
              <i n="[tblExpense].[Category].&amp;[Shopping]" c="Shopping"/>
              <i n="[tblExpense].[Category].&amp;[Travel]" c="Travel"/>
              <i n="[tblExpense].[Category].&amp;[Utilities]" c="Utilities"/>
            </range>
          </ranges>
        </level>
      </levels>
      <selections count="1">
        <selection n="[tblExpense].[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5946A548-F4AA-4B35-B2BB-0C695D71F6AB}" sourceName="[Payment_mode_List].[Payment Mode]">
  <pivotTables>
    <pivotTable tabId="1" name="PivotTable1"/>
    <pivotTable tabId="1" name="PivotTable2"/>
    <pivotTable tabId="1" name="PivotTable3"/>
    <pivotTable tabId="1" name="PivotTable4"/>
  </pivotTables>
  <data>
    <olap pivotCacheId="1704739145">
      <levels count="2">
        <level uniqueName="[Payment_mode_List].[Payment Mode].[(All)]" sourceCaption="(All)" count="0"/>
        <level uniqueName="[Payment_mode_List].[Payment Mode].[Payment Mode]" sourceCaption="Payment Mode" count="4">
          <ranges>
            <range startItem="0">
              <i n="[Payment_mode_List].[Payment Mode].&amp;[Card]" c="Card"/>
              <i n="[Payment_mode_List].[Payment Mode].&amp;[Cash]" c="Cash"/>
              <i n="[Payment_mode_List].[Payment Mode].&amp;[NetBanking]" c="NetBanking"/>
              <i n="[Payment_mode_List].[Payment Mode].&amp;[UPI]" c="UPI"/>
            </range>
          </ranges>
        </level>
      </levels>
      <selections count="1">
        <selection n="[Payment_mode_List].[Payment Mo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4C85764-9254-44BA-86A9-0AA6B0D87DD1}" sourceName="[tblExpense].[month]">
  <pivotTables>
    <pivotTable tabId="1" name="PivotTable1"/>
    <pivotTable tabId="1" name="PivotTable2"/>
    <pivotTable tabId="1" name="PivotTable3"/>
    <pivotTable tabId="1" name="PivotTable4"/>
  </pivotTables>
  <data>
    <olap pivotCacheId="1704739145">
      <levels count="2">
        <level uniqueName="[tblExpense].[month].[(All)]" sourceCaption="(All)" count="0"/>
        <level uniqueName="[tblExpense].[month].[month]" sourceCaption="month" count="12">
          <ranges>
            <range startItem="0">
              <i n="[tblExpense].[month].&amp;[April]" c="April"/>
              <i n="[tblExpense].[month].&amp;[August]" c="August"/>
              <i n="[tblExpense].[month].&amp;[December]" c="December"/>
              <i n="[tblExpense].[month].&amp;[February]" c="February"/>
              <i n="[tblExpense].[month].&amp;[January]" c="January"/>
              <i n="[tblExpense].[month].&amp;[July]" c="July"/>
              <i n="[tblExpense].[month].&amp;[June]" c="June"/>
              <i n="[tblExpense].[month].&amp;[March]" c="March"/>
              <i n="[tblExpense].[month].&amp;[May]" c="May"/>
              <i n="[tblExpense].[month].&amp;[November]" c="November"/>
              <i n="[tblExpense].[month].&amp;[October]" c="October"/>
              <i n="[tblExpense].[month].&amp;[September]" c="September"/>
            </range>
          </ranges>
        </level>
      </levels>
      <selections count="1">
        <selection n="[tblExpense].[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7C16B80-3EAA-4358-86B8-2204216EE030}" cache="Slicer_Category" caption="Category" level="1" rowHeight="234950"/>
  <slicer name="Payment Mode" xr10:uid="{5378E736-65FF-4D90-B6B7-5B2210083410}" cache="Slicer_Payment_Mode" caption="Payment Mode" level="1" rowHeight="234950"/>
  <slicer name="month" xr10:uid="{FC7A91B2-7108-4B87-AE31-70D27DB30EF5}" cache="Slicer_month" caption="month"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A890EB38-8C60-4510-901A-3791FBB40A7E}" cache="Slicer_Category" caption="Category" columnCount="2" level="1" style="SlicerStyleDark1" rowHeight="360000"/>
  <slicer name="Payment Mode 1" xr10:uid="{00B53F74-674D-4AAA-B5B6-5678B06F0AB5}" cache="Slicer_Payment_Mode" caption="Payment Mode" columnCount="2" level="1" style="SlicerStyleDark1" rowHeight="360000"/>
  <slicer name="month 1" xr10:uid="{F37C5588-63F4-42D2-AB33-B91E4642F1B1}" cache="Slicer_month" caption="Month" columnCount="2" level="1" style="SlicerStyleDark1"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664984-7C2C-46C7-9980-18120D49D7B7}" name="Category_List" displayName="Category_List" ref="A1:A8" tableType="queryTable" totalsRowShown="0" headerRowDxfId="13" dataDxfId="12">
  <autoFilter ref="A1:A8" xr:uid="{50664984-7C2C-46C7-9980-18120D49D7B7}"/>
  <tableColumns count="1">
    <tableColumn id="1" xr3:uid="{00F6C487-3063-44E5-B0A6-57FDE40EDA8C}" uniqueName="1" name="Categories" queryTableFieldId="1" dataDxfId="11"/>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4DCB4C-C8B3-4508-B719-01E2631EF692}" name="Payment_mode_List" displayName="Payment_mode_List" ref="A1:A5" tableType="queryTable" totalsRowShown="0" headerRowDxfId="10" dataDxfId="9">
  <autoFilter ref="A1:A5" xr:uid="{F24DCB4C-C8B3-4508-B719-01E2631EF692}"/>
  <tableColumns count="1">
    <tableColumn id="1" xr3:uid="{25D8FDC1-1E77-49E8-AE53-50D0EC778B58}" uniqueName="1" name="Payment Mode" queryTableFieldId="1" dataDxfId="8"/>
  </tableColumns>
  <tableStyleInfo name="TableStyleMedium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0B6B7BD-88A9-4D1A-9175-8F1EA02893AC}" name="tblExpense" displayName="tblExpense" ref="A1:G130" tableType="queryTable" totalsRowShown="0" dataDxfId="7">
  <autoFilter ref="A1:G130" xr:uid="{90B6B7BD-88A9-4D1A-9175-8F1EA02893AC}"/>
  <tableColumns count="7">
    <tableColumn id="1" xr3:uid="{355C3B6A-3FDE-4749-8155-F48167C99E98}" uniqueName="1" name="Date" queryTableFieldId="1" dataDxfId="6"/>
    <tableColumn id="2" xr3:uid="{6194239E-521E-46C1-BDC7-DE1D4B947BCE}" uniqueName="2" name="Description" queryTableFieldId="2" dataDxfId="5"/>
    <tableColumn id="3" xr3:uid="{B21A5DE5-2C9E-424A-9F5D-3A148B36531F}" uniqueName="3" name="Category" queryTableFieldId="3" dataDxfId="4"/>
    <tableColumn id="4" xr3:uid="{C5F86C8B-8110-403F-AF66-4D72370146C5}" uniqueName="4" name="Amount" queryTableFieldId="4" dataDxfId="3"/>
    <tableColumn id="5" xr3:uid="{8711093A-BBBD-49F7-A59D-A4BE90D5F1AF}" uniqueName="5" name="Payment_Mode" queryTableFieldId="5" dataDxfId="2"/>
    <tableColumn id="6" xr3:uid="{90C1ED5C-C83A-4A4D-A625-67A7E2C07DEA}" uniqueName="6" name="month" queryTableFieldId="6" dataDxfId="1"/>
    <tableColumn id="7" xr3:uid="{2819DD9B-41C6-4683-8613-ECE83ADECF8F}" uniqueName="7" name="Day" queryTableFieldId="7" dataDxfId="0"/>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9109-5A2D-4A81-A074-8077A1E9057A}">
  <dimension ref="A1:A8"/>
  <sheetViews>
    <sheetView workbookViewId="0">
      <selection activeCell="G12" sqref="G12"/>
    </sheetView>
  </sheetViews>
  <sheetFormatPr defaultRowHeight="14.4" x14ac:dyDescent="0.3"/>
  <cols>
    <col min="1" max="1" width="12.6640625" bestFit="1" customWidth="1"/>
  </cols>
  <sheetData>
    <row r="1" spans="1:1" x14ac:dyDescent="0.3">
      <c r="A1" s="2" t="s">
        <v>0</v>
      </c>
    </row>
    <row r="2" spans="1:1" x14ac:dyDescent="0.3">
      <c r="A2" s="2" t="s">
        <v>1</v>
      </c>
    </row>
    <row r="3" spans="1:1" x14ac:dyDescent="0.3">
      <c r="A3" s="2" t="s">
        <v>2</v>
      </c>
    </row>
    <row r="4" spans="1:1" x14ac:dyDescent="0.3">
      <c r="A4" s="2" t="s">
        <v>3</v>
      </c>
    </row>
    <row r="5" spans="1:1" x14ac:dyDescent="0.3">
      <c r="A5" s="2" t="s">
        <v>4</v>
      </c>
    </row>
    <row r="6" spans="1:1" x14ac:dyDescent="0.3">
      <c r="A6" s="2" t="s">
        <v>5</v>
      </c>
    </row>
    <row r="7" spans="1:1" x14ac:dyDescent="0.3">
      <c r="A7" s="2" t="s">
        <v>6</v>
      </c>
    </row>
    <row r="8" spans="1:1" x14ac:dyDescent="0.3">
      <c r="A8" s="2" t="s">
        <v>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FBF92-176C-46FD-BA51-6F6D67B1B433}">
  <dimension ref="A1:A5"/>
  <sheetViews>
    <sheetView workbookViewId="0">
      <selection sqref="A1:A5"/>
    </sheetView>
  </sheetViews>
  <sheetFormatPr defaultRowHeight="14.4" x14ac:dyDescent="0.3"/>
  <cols>
    <col min="1" max="1" width="16.33203125" bestFit="1" customWidth="1"/>
  </cols>
  <sheetData>
    <row r="1" spans="1:1" x14ac:dyDescent="0.3">
      <c r="A1" s="2" t="s">
        <v>8</v>
      </c>
    </row>
    <row r="2" spans="1:1" x14ac:dyDescent="0.3">
      <c r="A2" s="2" t="s">
        <v>9</v>
      </c>
    </row>
    <row r="3" spans="1:1" x14ac:dyDescent="0.3">
      <c r="A3" s="2" t="s">
        <v>10</v>
      </c>
    </row>
    <row r="4" spans="1:1" x14ac:dyDescent="0.3">
      <c r="A4" s="2" t="s">
        <v>11</v>
      </c>
    </row>
    <row r="5" spans="1:1" x14ac:dyDescent="0.3">
      <c r="A5" s="2" t="s">
        <v>12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5951C-9B44-466B-9913-63C291783EF4}">
  <dimension ref="A1:G130"/>
  <sheetViews>
    <sheetView workbookViewId="0">
      <selection activeCell="H8" sqref="H8"/>
    </sheetView>
  </sheetViews>
  <sheetFormatPr defaultRowHeight="14.4" x14ac:dyDescent="0.3"/>
  <cols>
    <col min="1" max="1" width="10.33203125" bestFit="1" customWidth="1"/>
    <col min="2" max="2" width="16.88671875" bestFit="1" customWidth="1"/>
    <col min="3" max="3" width="12.6640625" bestFit="1" customWidth="1"/>
    <col min="4" max="4" width="10.109375" bestFit="1" customWidth="1"/>
    <col min="5" max="5" width="16.88671875" bestFit="1" customWidth="1"/>
    <col min="6" max="6" width="9.77734375" bestFit="1" customWidth="1"/>
    <col min="7" max="7" width="6.44140625" bestFit="1" customWidth="1"/>
  </cols>
  <sheetData>
    <row r="1" spans="1:7" x14ac:dyDescent="0.3">
      <c r="A1" t="s">
        <v>13</v>
      </c>
      <c r="B1" t="s">
        <v>14</v>
      </c>
      <c r="C1" t="s">
        <v>15</v>
      </c>
      <c r="D1" t="s">
        <v>16</v>
      </c>
      <c r="E1" t="s">
        <v>17</v>
      </c>
      <c r="F1" t="s">
        <v>18</v>
      </c>
      <c r="G1" t="s">
        <v>19</v>
      </c>
    </row>
    <row r="2" spans="1:7" x14ac:dyDescent="0.3">
      <c r="A2" s="1">
        <v>46023</v>
      </c>
      <c r="B2" s="2" t="s">
        <v>20</v>
      </c>
      <c r="C2" s="2" t="s">
        <v>1</v>
      </c>
      <c r="D2" s="2">
        <v>120</v>
      </c>
      <c r="E2" s="2" t="s">
        <v>9</v>
      </c>
      <c r="F2" s="2" t="s">
        <v>21</v>
      </c>
      <c r="G2" s="2">
        <v>1</v>
      </c>
    </row>
    <row r="3" spans="1:7" x14ac:dyDescent="0.3">
      <c r="A3" s="1">
        <v>46023</v>
      </c>
      <c r="B3" s="2" t="s">
        <v>22</v>
      </c>
      <c r="C3" s="2" t="s">
        <v>2</v>
      </c>
      <c r="D3" s="2">
        <v>40</v>
      </c>
      <c r="E3" s="2" t="s">
        <v>10</v>
      </c>
      <c r="F3" s="2" t="s">
        <v>21</v>
      </c>
      <c r="G3" s="2">
        <v>1</v>
      </c>
    </row>
    <row r="4" spans="1:7" x14ac:dyDescent="0.3">
      <c r="A4" s="1">
        <v>46024</v>
      </c>
      <c r="B4" s="2" t="s">
        <v>23</v>
      </c>
      <c r="C4" s="2" t="s">
        <v>1</v>
      </c>
      <c r="D4" s="2">
        <v>180</v>
      </c>
      <c r="E4" s="2" t="s">
        <v>9</v>
      </c>
      <c r="F4" s="2" t="s">
        <v>21</v>
      </c>
      <c r="G4" s="2">
        <v>2</v>
      </c>
    </row>
    <row r="5" spans="1:7" x14ac:dyDescent="0.3">
      <c r="A5" s="1">
        <v>46024</v>
      </c>
      <c r="B5" s="2" t="s">
        <v>24</v>
      </c>
      <c r="C5" s="2" t="s">
        <v>3</v>
      </c>
      <c r="D5" s="2">
        <v>299</v>
      </c>
      <c r="E5" s="2" t="s">
        <v>11</v>
      </c>
      <c r="F5" s="2" t="s">
        <v>21</v>
      </c>
      <c r="G5" s="2">
        <v>2</v>
      </c>
    </row>
    <row r="6" spans="1:7" x14ac:dyDescent="0.3">
      <c r="A6" s="1">
        <v>46025</v>
      </c>
      <c r="B6" s="2" t="s">
        <v>25</v>
      </c>
      <c r="C6" s="2" t="s">
        <v>4</v>
      </c>
      <c r="D6" s="2">
        <v>350</v>
      </c>
      <c r="E6" s="2" t="s">
        <v>11</v>
      </c>
      <c r="F6" s="2" t="s">
        <v>21</v>
      </c>
      <c r="G6" s="2">
        <v>3</v>
      </c>
    </row>
    <row r="7" spans="1:7" x14ac:dyDescent="0.3">
      <c r="A7" s="1">
        <v>46025</v>
      </c>
      <c r="B7" s="2" t="s">
        <v>26</v>
      </c>
      <c r="C7" s="2" t="s">
        <v>1</v>
      </c>
      <c r="D7" s="2">
        <v>220</v>
      </c>
      <c r="E7" s="2" t="s">
        <v>10</v>
      </c>
      <c r="F7" s="2" t="s">
        <v>21</v>
      </c>
      <c r="G7" s="2">
        <v>3</v>
      </c>
    </row>
    <row r="8" spans="1:7" x14ac:dyDescent="0.3">
      <c r="A8" s="1">
        <v>46026</v>
      </c>
      <c r="B8" s="2" t="s">
        <v>27</v>
      </c>
      <c r="C8" s="2" t="s">
        <v>2</v>
      </c>
      <c r="D8" s="2">
        <v>150</v>
      </c>
      <c r="E8" s="2" t="s">
        <v>9</v>
      </c>
      <c r="F8" s="2" t="s">
        <v>21</v>
      </c>
      <c r="G8" s="2">
        <v>4</v>
      </c>
    </row>
    <row r="9" spans="1:7" x14ac:dyDescent="0.3">
      <c r="A9" s="1">
        <v>46026</v>
      </c>
      <c r="B9" s="2" t="s">
        <v>28</v>
      </c>
      <c r="C9" s="2" t="s">
        <v>3</v>
      </c>
      <c r="D9" s="2">
        <v>950</v>
      </c>
      <c r="E9" s="2" t="s">
        <v>12</v>
      </c>
      <c r="F9" s="2" t="s">
        <v>21</v>
      </c>
      <c r="G9" s="2">
        <v>4</v>
      </c>
    </row>
    <row r="10" spans="1:7" x14ac:dyDescent="0.3">
      <c r="A10" s="1">
        <v>46027</v>
      </c>
      <c r="B10" s="2" t="s">
        <v>29</v>
      </c>
      <c r="C10" s="2" t="s">
        <v>1</v>
      </c>
      <c r="D10" s="2">
        <v>600</v>
      </c>
      <c r="E10" s="2" t="s">
        <v>9</v>
      </c>
      <c r="F10" s="2" t="s">
        <v>21</v>
      </c>
      <c r="G10" s="2">
        <v>5</v>
      </c>
    </row>
    <row r="11" spans="1:7" x14ac:dyDescent="0.3">
      <c r="A11" s="1">
        <v>46027</v>
      </c>
      <c r="B11" s="2" t="s">
        <v>30</v>
      </c>
      <c r="C11" s="2" t="s">
        <v>5</v>
      </c>
      <c r="D11" s="2">
        <v>1200</v>
      </c>
      <c r="E11" s="2" t="s">
        <v>11</v>
      </c>
      <c r="F11" s="2" t="s">
        <v>21</v>
      </c>
      <c r="G11" s="2">
        <v>5</v>
      </c>
    </row>
    <row r="12" spans="1:7" x14ac:dyDescent="0.3">
      <c r="A12" s="1">
        <v>46028</v>
      </c>
      <c r="B12" s="2" t="s">
        <v>31</v>
      </c>
      <c r="C12" s="2" t="s">
        <v>1</v>
      </c>
      <c r="D12" s="2">
        <v>90</v>
      </c>
      <c r="E12" s="2" t="s">
        <v>10</v>
      </c>
      <c r="F12" s="2" t="s">
        <v>21</v>
      </c>
      <c r="G12" s="2">
        <v>6</v>
      </c>
    </row>
    <row r="13" spans="1:7" x14ac:dyDescent="0.3">
      <c r="A13" s="1">
        <v>46028</v>
      </c>
      <c r="B13" s="2" t="s">
        <v>32</v>
      </c>
      <c r="C13" s="2" t="s">
        <v>3</v>
      </c>
      <c r="D13" s="2">
        <v>999</v>
      </c>
      <c r="E13" s="2" t="s">
        <v>12</v>
      </c>
      <c r="F13" s="2" t="s">
        <v>21</v>
      </c>
      <c r="G13" s="2">
        <v>6</v>
      </c>
    </row>
    <row r="14" spans="1:7" x14ac:dyDescent="0.3">
      <c r="A14" s="1">
        <v>46029</v>
      </c>
      <c r="B14" s="2" t="s">
        <v>33</v>
      </c>
      <c r="C14" s="2" t="s">
        <v>4</v>
      </c>
      <c r="D14" s="2">
        <v>800</v>
      </c>
      <c r="E14" s="2" t="s">
        <v>9</v>
      </c>
      <c r="F14" s="2" t="s">
        <v>21</v>
      </c>
      <c r="G14" s="2">
        <v>7</v>
      </c>
    </row>
    <row r="15" spans="1:7" x14ac:dyDescent="0.3">
      <c r="A15" s="1">
        <v>46029</v>
      </c>
      <c r="B15" s="2" t="s">
        <v>34</v>
      </c>
      <c r="C15" s="2" t="s">
        <v>2</v>
      </c>
      <c r="D15" s="2">
        <v>500</v>
      </c>
      <c r="E15" s="2" t="s">
        <v>11</v>
      </c>
      <c r="F15" s="2" t="s">
        <v>21</v>
      </c>
      <c r="G15" s="2">
        <v>7</v>
      </c>
    </row>
    <row r="16" spans="1:7" x14ac:dyDescent="0.3">
      <c r="A16" s="1">
        <v>46030</v>
      </c>
      <c r="B16" s="2" t="s">
        <v>35</v>
      </c>
      <c r="C16" s="2" t="s">
        <v>5</v>
      </c>
      <c r="D16" s="2">
        <v>300</v>
      </c>
      <c r="E16" s="2" t="s">
        <v>10</v>
      </c>
      <c r="F16" s="2" t="s">
        <v>21</v>
      </c>
      <c r="G16" s="2">
        <v>8</v>
      </c>
    </row>
    <row r="17" spans="1:7" x14ac:dyDescent="0.3">
      <c r="A17" s="1">
        <v>46030</v>
      </c>
      <c r="B17" s="2" t="s">
        <v>22</v>
      </c>
      <c r="C17" s="2" t="s">
        <v>2</v>
      </c>
      <c r="D17" s="2">
        <v>40</v>
      </c>
      <c r="E17" s="2" t="s">
        <v>10</v>
      </c>
      <c r="F17" s="2" t="s">
        <v>21</v>
      </c>
      <c r="G17" s="2">
        <v>8</v>
      </c>
    </row>
    <row r="18" spans="1:7" x14ac:dyDescent="0.3">
      <c r="A18" s="1">
        <v>46031</v>
      </c>
      <c r="B18" s="2" t="s">
        <v>36</v>
      </c>
      <c r="C18" s="2" t="s">
        <v>1</v>
      </c>
      <c r="D18" s="2">
        <v>550</v>
      </c>
      <c r="E18" s="2" t="s">
        <v>9</v>
      </c>
      <c r="F18" s="2" t="s">
        <v>21</v>
      </c>
      <c r="G18" s="2">
        <v>9</v>
      </c>
    </row>
    <row r="19" spans="1:7" x14ac:dyDescent="0.3">
      <c r="A19" s="1">
        <v>46031</v>
      </c>
      <c r="B19" s="2" t="s">
        <v>37</v>
      </c>
      <c r="C19" s="2" t="s">
        <v>4</v>
      </c>
      <c r="D19" s="2">
        <v>199</v>
      </c>
      <c r="E19" s="2" t="s">
        <v>11</v>
      </c>
      <c r="F19" s="2" t="s">
        <v>21</v>
      </c>
      <c r="G19" s="2">
        <v>9</v>
      </c>
    </row>
    <row r="20" spans="1:7" x14ac:dyDescent="0.3">
      <c r="A20" s="1">
        <v>46032</v>
      </c>
      <c r="B20" s="2" t="s">
        <v>38</v>
      </c>
      <c r="C20" s="2" t="s">
        <v>3</v>
      </c>
      <c r="D20" s="2">
        <v>450</v>
      </c>
      <c r="E20" s="2" t="s">
        <v>12</v>
      </c>
      <c r="F20" s="2" t="s">
        <v>21</v>
      </c>
      <c r="G20" s="2">
        <v>10</v>
      </c>
    </row>
    <row r="21" spans="1:7" x14ac:dyDescent="0.3">
      <c r="A21" s="1">
        <v>46032</v>
      </c>
      <c r="B21" s="2" t="s">
        <v>39</v>
      </c>
      <c r="C21" s="2" t="s">
        <v>1</v>
      </c>
      <c r="D21" s="2">
        <v>110</v>
      </c>
      <c r="E21" s="2" t="s">
        <v>10</v>
      </c>
      <c r="F21" s="2" t="s">
        <v>21</v>
      </c>
      <c r="G21" s="2">
        <v>10</v>
      </c>
    </row>
    <row r="22" spans="1:7" x14ac:dyDescent="0.3">
      <c r="A22" s="1">
        <v>46033</v>
      </c>
      <c r="B22" s="2" t="s">
        <v>23</v>
      </c>
      <c r="C22" s="2" t="s">
        <v>1</v>
      </c>
      <c r="D22" s="2">
        <v>200</v>
      </c>
      <c r="E22" s="2" t="s">
        <v>9</v>
      </c>
      <c r="F22" s="2" t="s">
        <v>21</v>
      </c>
      <c r="G22" s="2">
        <v>11</v>
      </c>
    </row>
    <row r="23" spans="1:7" x14ac:dyDescent="0.3">
      <c r="A23" s="1">
        <v>46033</v>
      </c>
      <c r="B23" s="2" t="s">
        <v>40</v>
      </c>
      <c r="C23" s="2" t="s">
        <v>2</v>
      </c>
      <c r="D23" s="2">
        <v>300</v>
      </c>
      <c r="E23" s="2" t="s">
        <v>11</v>
      </c>
      <c r="F23" s="2" t="s">
        <v>21</v>
      </c>
      <c r="G23" s="2">
        <v>11</v>
      </c>
    </row>
    <row r="24" spans="1:7" x14ac:dyDescent="0.3">
      <c r="A24" s="1">
        <v>46034</v>
      </c>
      <c r="B24" s="2" t="s">
        <v>41</v>
      </c>
      <c r="C24" s="2" t="s">
        <v>5</v>
      </c>
      <c r="D24" s="2">
        <v>1800</v>
      </c>
      <c r="E24" s="2" t="s">
        <v>11</v>
      </c>
      <c r="F24" s="2" t="s">
        <v>21</v>
      </c>
      <c r="G24" s="2">
        <v>12</v>
      </c>
    </row>
    <row r="25" spans="1:7" x14ac:dyDescent="0.3">
      <c r="A25" s="1">
        <v>46034</v>
      </c>
      <c r="B25" s="2" t="s">
        <v>42</v>
      </c>
      <c r="C25" s="2" t="s">
        <v>4</v>
      </c>
      <c r="D25" s="2">
        <v>400</v>
      </c>
      <c r="E25" s="2" t="s">
        <v>9</v>
      </c>
      <c r="F25" s="2" t="s">
        <v>21</v>
      </c>
      <c r="G25" s="2">
        <v>12</v>
      </c>
    </row>
    <row r="26" spans="1:7" x14ac:dyDescent="0.3">
      <c r="A26" s="1">
        <v>46035</v>
      </c>
      <c r="B26" s="2" t="s">
        <v>26</v>
      </c>
      <c r="C26" s="2" t="s">
        <v>1</v>
      </c>
      <c r="D26" s="2">
        <v>250</v>
      </c>
      <c r="E26" s="2" t="s">
        <v>10</v>
      </c>
      <c r="F26" s="2" t="s">
        <v>21</v>
      </c>
      <c r="G26" s="2">
        <v>13</v>
      </c>
    </row>
    <row r="27" spans="1:7" x14ac:dyDescent="0.3">
      <c r="A27" s="1">
        <v>46035</v>
      </c>
      <c r="B27" s="2" t="s">
        <v>43</v>
      </c>
      <c r="C27" s="2" t="s">
        <v>2</v>
      </c>
      <c r="D27" s="2">
        <v>600</v>
      </c>
      <c r="E27" s="2" t="s">
        <v>11</v>
      </c>
      <c r="F27" s="2" t="s">
        <v>21</v>
      </c>
      <c r="G27" s="2">
        <v>13</v>
      </c>
    </row>
    <row r="28" spans="1:7" x14ac:dyDescent="0.3">
      <c r="A28" s="1">
        <v>46036</v>
      </c>
      <c r="B28" s="2" t="s">
        <v>28</v>
      </c>
      <c r="C28" s="2" t="s">
        <v>3</v>
      </c>
      <c r="D28" s="2">
        <v>970</v>
      </c>
      <c r="E28" s="2" t="s">
        <v>12</v>
      </c>
      <c r="F28" s="2" t="s">
        <v>21</v>
      </c>
      <c r="G28" s="2">
        <v>14</v>
      </c>
    </row>
    <row r="29" spans="1:7" x14ac:dyDescent="0.3">
      <c r="A29" s="1">
        <v>46036</v>
      </c>
      <c r="B29" s="2" t="s">
        <v>44</v>
      </c>
      <c r="C29" s="2" t="s">
        <v>4</v>
      </c>
      <c r="D29" s="2">
        <v>900</v>
      </c>
      <c r="E29" s="2" t="s">
        <v>9</v>
      </c>
      <c r="F29" s="2" t="s">
        <v>21</v>
      </c>
      <c r="G29" s="2">
        <v>14</v>
      </c>
    </row>
    <row r="30" spans="1:7" x14ac:dyDescent="0.3">
      <c r="A30" s="1">
        <v>46037</v>
      </c>
      <c r="B30" s="2" t="s">
        <v>45</v>
      </c>
      <c r="C30" s="2" t="s">
        <v>1</v>
      </c>
      <c r="D30" s="2">
        <v>500</v>
      </c>
      <c r="E30" s="2" t="s">
        <v>9</v>
      </c>
      <c r="F30" s="2" t="s">
        <v>21</v>
      </c>
      <c r="G30" s="2">
        <v>15</v>
      </c>
    </row>
    <row r="31" spans="1:7" x14ac:dyDescent="0.3">
      <c r="A31" s="1">
        <v>46037</v>
      </c>
      <c r="B31" s="2" t="s">
        <v>24</v>
      </c>
      <c r="C31" s="2" t="s">
        <v>3</v>
      </c>
      <c r="D31" s="2">
        <v>299</v>
      </c>
      <c r="E31" s="2" t="s">
        <v>11</v>
      </c>
      <c r="F31" s="2" t="s">
        <v>21</v>
      </c>
      <c r="G31" s="2">
        <v>15</v>
      </c>
    </row>
    <row r="32" spans="1:7" x14ac:dyDescent="0.3">
      <c r="A32" s="1">
        <v>46054</v>
      </c>
      <c r="B32" s="2" t="s">
        <v>45</v>
      </c>
      <c r="C32" s="2" t="s">
        <v>1</v>
      </c>
      <c r="D32" s="2">
        <v>480</v>
      </c>
      <c r="E32" s="2" t="s">
        <v>9</v>
      </c>
      <c r="F32" s="2" t="s">
        <v>46</v>
      </c>
      <c r="G32" s="2">
        <v>1</v>
      </c>
    </row>
    <row r="33" spans="1:7" x14ac:dyDescent="0.3">
      <c r="A33" s="1">
        <v>46055</v>
      </c>
      <c r="B33" s="2" t="s">
        <v>34</v>
      </c>
      <c r="C33" s="2" t="s">
        <v>2</v>
      </c>
      <c r="D33" s="2">
        <v>650</v>
      </c>
      <c r="E33" s="2" t="s">
        <v>11</v>
      </c>
      <c r="F33" s="2" t="s">
        <v>46</v>
      </c>
      <c r="G33" s="2">
        <v>2</v>
      </c>
    </row>
    <row r="34" spans="1:7" x14ac:dyDescent="0.3">
      <c r="A34" s="1">
        <v>46056</v>
      </c>
      <c r="B34" s="2" t="s">
        <v>32</v>
      </c>
      <c r="C34" s="2" t="s">
        <v>3</v>
      </c>
      <c r="D34" s="2">
        <v>999</v>
      </c>
      <c r="E34" s="2" t="s">
        <v>12</v>
      </c>
      <c r="F34" s="2" t="s">
        <v>46</v>
      </c>
      <c r="G34" s="2">
        <v>3</v>
      </c>
    </row>
    <row r="35" spans="1:7" x14ac:dyDescent="0.3">
      <c r="A35" s="1">
        <v>46057</v>
      </c>
      <c r="B35" s="2" t="s">
        <v>47</v>
      </c>
      <c r="C35" s="2" t="s">
        <v>4</v>
      </c>
      <c r="D35" s="2">
        <v>300</v>
      </c>
      <c r="E35" s="2" t="s">
        <v>10</v>
      </c>
      <c r="F35" s="2" t="s">
        <v>46</v>
      </c>
      <c r="G35" s="2">
        <v>4</v>
      </c>
    </row>
    <row r="36" spans="1:7" x14ac:dyDescent="0.3">
      <c r="A36" s="1">
        <v>46058</v>
      </c>
      <c r="B36" s="2" t="s">
        <v>30</v>
      </c>
      <c r="C36" s="2" t="s">
        <v>5</v>
      </c>
      <c r="D36" s="2">
        <v>1400</v>
      </c>
      <c r="E36" s="2" t="s">
        <v>11</v>
      </c>
      <c r="F36" s="2" t="s">
        <v>46</v>
      </c>
      <c r="G36" s="2">
        <v>5</v>
      </c>
    </row>
    <row r="37" spans="1:7" x14ac:dyDescent="0.3">
      <c r="A37" s="1">
        <v>46068</v>
      </c>
      <c r="B37" s="2" t="s">
        <v>38</v>
      </c>
      <c r="C37" s="2" t="s">
        <v>3</v>
      </c>
      <c r="D37" s="2">
        <v>450</v>
      </c>
      <c r="E37" s="2" t="s">
        <v>12</v>
      </c>
      <c r="F37" s="2" t="s">
        <v>46</v>
      </c>
      <c r="G37" s="2">
        <v>15</v>
      </c>
    </row>
    <row r="38" spans="1:7" x14ac:dyDescent="0.3">
      <c r="A38" s="1">
        <v>46073</v>
      </c>
      <c r="B38" s="2" t="s">
        <v>48</v>
      </c>
      <c r="C38" s="2" t="s">
        <v>4</v>
      </c>
      <c r="D38" s="2">
        <v>129</v>
      </c>
      <c r="E38" s="2" t="s">
        <v>9</v>
      </c>
      <c r="F38" s="2" t="s">
        <v>46</v>
      </c>
      <c r="G38" s="2">
        <v>20</v>
      </c>
    </row>
    <row r="39" spans="1:7" x14ac:dyDescent="0.3">
      <c r="A39" s="1">
        <v>46078</v>
      </c>
      <c r="B39" s="2" t="s">
        <v>49</v>
      </c>
      <c r="C39" s="2" t="s">
        <v>1</v>
      </c>
      <c r="D39" s="2">
        <v>420</v>
      </c>
      <c r="E39" s="2" t="s">
        <v>10</v>
      </c>
      <c r="F39" s="2" t="s">
        <v>46</v>
      </c>
      <c r="G39" s="2">
        <v>25</v>
      </c>
    </row>
    <row r="40" spans="1:7" x14ac:dyDescent="0.3">
      <c r="A40" s="1">
        <v>46081</v>
      </c>
      <c r="B40" s="2" t="s">
        <v>50</v>
      </c>
      <c r="C40" s="2" t="s">
        <v>6</v>
      </c>
      <c r="D40" s="2">
        <v>280</v>
      </c>
      <c r="E40" s="2" t="s">
        <v>11</v>
      </c>
      <c r="F40" s="2" t="s">
        <v>46</v>
      </c>
      <c r="G40" s="2">
        <v>28</v>
      </c>
    </row>
    <row r="41" spans="1:7" x14ac:dyDescent="0.3">
      <c r="A41" s="1">
        <v>46082</v>
      </c>
      <c r="B41" s="2" t="s">
        <v>45</v>
      </c>
      <c r="C41" s="2" t="s">
        <v>1</v>
      </c>
      <c r="D41" s="2">
        <v>520</v>
      </c>
      <c r="E41" s="2" t="s">
        <v>9</v>
      </c>
      <c r="F41" s="2" t="s">
        <v>51</v>
      </c>
      <c r="G41" s="2">
        <v>1</v>
      </c>
    </row>
    <row r="42" spans="1:7" x14ac:dyDescent="0.3">
      <c r="A42" s="1">
        <v>46083</v>
      </c>
      <c r="B42" s="2" t="s">
        <v>22</v>
      </c>
      <c r="C42" s="2" t="s">
        <v>2</v>
      </c>
      <c r="D42" s="2">
        <v>50</v>
      </c>
      <c r="E42" s="2" t="s">
        <v>10</v>
      </c>
      <c r="F42" s="2" t="s">
        <v>51</v>
      </c>
      <c r="G42" s="2">
        <v>2</v>
      </c>
    </row>
    <row r="43" spans="1:7" x14ac:dyDescent="0.3">
      <c r="A43" s="1">
        <v>46084</v>
      </c>
      <c r="B43" s="2" t="s">
        <v>24</v>
      </c>
      <c r="C43" s="2" t="s">
        <v>3</v>
      </c>
      <c r="D43" s="2">
        <v>299</v>
      </c>
      <c r="E43" s="2" t="s">
        <v>11</v>
      </c>
      <c r="F43" s="2" t="s">
        <v>51</v>
      </c>
      <c r="G43" s="2">
        <v>3</v>
      </c>
    </row>
    <row r="44" spans="1:7" x14ac:dyDescent="0.3">
      <c r="A44" s="1">
        <v>46085</v>
      </c>
      <c r="B44" s="2" t="s">
        <v>44</v>
      </c>
      <c r="C44" s="2" t="s">
        <v>4</v>
      </c>
      <c r="D44" s="2">
        <v>850</v>
      </c>
      <c r="E44" s="2" t="s">
        <v>9</v>
      </c>
      <c r="F44" s="2" t="s">
        <v>51</v>
      </c>
      <c r="G44" s="2">
        <v>4</v>
      </c>
    </row>
    <row r="45" spans="1:7" x14ac:dyDescent="0.3">
      <c r="A45" s="1">
        <v>46086</v>
      </c>
      <c r="B45" s="2" t="s">
        <v>41</v>
      </c>
      <c r="C45" s="2" t="s">
        <v>5</v>
      </c>
      <c r="D45" s="2">
        <v>2100</v>
      </c>
      <c r="E45" s="2" t="s">
        <v>11</v>
      </c>
      <c r="F45" s="2" t="s">
        <v>51</v>
      </c>
      <c r="G45" s="2">
        <v>5</v>
      </c>
    </row>
    <row r="46" spans="1:7" x14ac:dyDescent="0.3">
      <c r="A46" s="1">
        <v>46096</v>
      </c>
      <c r="B46" s="2" t="s">
        <v>52</v>
      </c>
      <c r="C46" s="2" t="s">
        <v>7</v>
      </c>
      <c r="D46" s="2">
        <v>950</v>
      </c>
      <c r="E46" s="2" t="s">
        <v>10</v>
      </c>
      <c r="F46" s="2" t="s">
        <v>51</v>
      </c>
      <c r="G46" s="2">
        <v>15</v>
      </c>
    </row>
    <row r="47" spans="1:7" x14ac:dyDescent="0.3">
      <c r="A47" s="1">
        <v>46101</v>
      </c>
      <c r="B47" s="2" t="s">
        <v>53</v>
      </c>
      <c r="C47" s="2" t="s">
        <v>4</v>
      </c>
      <c r="D47" s="2">
        <v>179</v>
      </c>
      <c r="E47" s="2" t="s">
        <v>11</v>
      </c>
      <c r="F47" s="2" t="s">
        <v>51</v>
      </c>
      <c r="G47" s="2">
        <v>20</v>
      </c>
    </row>
    <row r="48" spans="1:7" x14ac:dyDescent="0.3">
      <c r="A48" s="1">
        <v>46106</v>
      </c>
      <c r="B48" s="2" t="s">
        <v>54</v>
      </c>
      <c r="C48" s="2" t="s">
        <v>1</v>
      </c>
      <c r="D48" s="2">
        <v>380</v>
      </c>
      <c r="E48" s="2" t="s">
        <v>9</v>
      </c>
      <c r="F48" s="2" t="s">
        <v>51</v>
      </c>
      <c r="G48" s="2">
        <v>25</v>
      </c>
    </row>
    <row r="49" spans="1:7" x14ac:dyDescent="0.3">
      <c r="A49" s="1">
        <v>46112</v>
      </c>
      <c r="B49" s="2" t="s">
        <v>55</v>
      </c>
      <c r="C49" s="2" t="s">
        <v>6</v>
      </c>
      <c r="D49" s="2">
        <v>1200</v>
      </c>
      <c r="E49" s="2" t="s">
        <v>11</v>
      </c>
      <c r="F49" s="2" t="s">
        <v>51</v>
      </c>
      <c r="G49" s="2">
        <v>31</v>
      </c>
    </row>
    <row r="50" spans="1:7" x14ac:dyDescent="0.3">
      <c r="A50" s="1">
        <v>46113</v>
      </c>
      <c r="B50" s="2" t="s">
        <v>45</v>
      </c>
      <c r="C50" s="2" t="s">
        <v>1</v>
      </c>
      <c r="D50" s="2">
        <v>490</v>
      </c>
      <c r="E50" s="2" t="s">
        <v>9</v>
      </c>
      <c r="F50" s="2" t="s">
        <v>56</v>
      </c>
      <c r="G50" s="2">
        <v>1</v>
      </c>
    </row>
    <row r="51" spans="1:7" x14ac:dyDescent="0.3">
      <c r="A51" s="1">
        <v>46114</v>
      </c>
      <c r="B51" s="2" t="s">
        <v>57</v>
      </c>
      <c r="C51" s="2" t="s">
        <v>2</v>
      </c>
      <c r="D51" s="2">
        <v>120</v>
      </c>
      <c r="E51" s="2" t="s">
        <v>10</v>
      </c>
      <c r="F51" s="2" t="s">
        <v>56</v>
      </c>
      <c r="G51" s="2">
        <v>2</v>
      </c>
    </row>
    <row r="52" spans="1:7" x14ac:dyDescent="0.3">
      <c r="A52" s="1">
        <v>46115</v>
      </c>
      <c r="B52" s="2" t="s">
        <v>58</v>
      </c>
      <c r="C52" s="2" t="s">
        <v>3</v>
      </c>
      <c r="D52" s="2">
        <v>750</v>
      </c>
      <c r="E52" s="2" t="s">
        <v>12</v>
      </c>
      <c r="F52" s="2" t="s">
        <v>56</v>
      </c>
      <c r="G52" s="2">
        <v>3</v>
      </c>
    </row>
    <row r="53" spans="1:7" x14ac:dyDescent="0.3">
      <c r="A53" s="1">
        <v>46116</v>
      </c>
      <c r="B53" s="2" t="s">
        <v>59</v>
      </c>
      <c r="C53" s="2" t="s">
        <v>4</v>
      </c>
      <c r="D53" s="2">
        <v>1200</v>
      </c>
      <c r="E53" s="2" t="s">
        <v>11</v>
      </c>
      <c r="F53" s="2" t="s">
        <v>56</v>
      </c>
      <c r="G53" s="2">
        <v>4</v>
      </c>
    </row>
    <row r="54" spans="1:7" x14ac:dyDescent="0.3">
      <c r="A54" s="1">
        <v>46117</v>
      </c>
      <c r="B54" s="2" t="s">
        <v>60</v>
      </c>
      <c r="C54" s="2" t="s">
        <v>5</v>
      </c>
      <c r="D54" s="2">
        <v>2200</v>
      </c>
      <c r="E54" s="2" t="s">
        <v>9</v>
      </c>
      <c r="F54" s="2" t="s">
        <v>56</v>
      </c>
      <c r="G54" s="2">
        <v>5</v>
      </c>
    </row>
    <row r="55" spans="1:7" x14ac:dyDescent="0.3">
      <c r="A55" s="1">
        <v>46127</v>
      </c>
      <c r="B55" s="2" t="s">
        <v>61</v>
      </c>
      <c r="C55" s="2" t="s">
        <v>7</v>
      </c>
      <c r="D55" s="2">
        <v>25000</v>
      </c>
      <c r="E55" s="2" t="s">
        <v>12</v>
      </c>
      <c r="F55" s="2" t="s">
        <v>56</v>
      </c>
      <c r="G55" s="2">
        <v>15</v>
      </c>
    </row>
    <row r="56" spans="1:7" x14ac:dyDescent="0.3">
      <c r="A56" s="1">
        <v>46132</v>
      </c>
      <c r="B56" s="2" t="s">
        <v>62</v>
      </c>
      <c r="C56" s="2" t="s">
        <v>4</v>
      </c>
      <c r="D56" s="2">
        <v>159</v>
      </c>
      <c r="E56" s="2" t="s">
        <v>11</v>
      </c>
      <c r="F56" s="2" t="s">
        <v>56</v>
      </c>
      <c r="G56" s="2">
        <v>20</v>
      </c>
    </row>
    <row r="57" spans="1:7" x14ac:dyDescent="0.3">
      <c r="A57" s="1">
        <v>46137</v>
      </c>
      <c r="B57" s="2" t="s">
        <v>63</v>
      </c>
      <c r="C57" s="2" t="s">
        <v>1</v>
      </c>
      <c r="D57" s="2">
        <v>280</v>
      </c>
      <c r="E57" s="2" t="s">
        <v>10</v>
      </c>
      <c r="F57" s="2" t="s">
        <v>56</v>
      </c>
      <c r="G57" s="2">
        <v>25</v>
      </c>
    </row>
    <row r="58" spans="1:7" x14ac:dyDescent="0.3">
      <c r="A58" s="1">
        <v>46142</v>
      </c>
      <c r="B58" s="2" t="s">
        <v>64</v>
      </c>
      <c r="C58" s="2" t="s">
        <v>6</v>
      </c>
      <c r="D58" s="2">
        <v>3500</v>
      </c>
      <c r="E58" s="2" t="s">
        <v>11</v>
      </c>
      <c r="F58" s="2" t="s">
        <v>56</v>
      </c>
      <c r="G58" s="2">
        <v>30</v>
      </c>
    </row>
    <row r="59" spans="1:7" x14ac:dyDescent="0.3">
      <c r="A59" s="1">
        <v>46143</v>
      </c>
      <c r="B59" s="2" t="s">
        <v>45</v>
      </c>
      <c r="C59" s="2" t="s">
        <v>1</v>
      </c>
      <c r="D59" s="2">
        <v>510</v>
      </c>
      <c r="E59" s="2" t="s">
        <v>9</v>
      </c>
      <c r="F59" s="2" t="s">
        <v>65</v>
      </c>
      <c r="G59" s="2">
        <v>1</v>
      </c>
    </row>
    <row r="60" spans="1:7" x14ac:dyDescent="0.3">
      <c r="A60" s="1">
        <v>46144</v>
      </c>
      <c r="B60" s="2" t="s">
        <v>66</v>
      </c>
      <c r="C60" s="2" t="s">
        <v>2</v>
      </c>
      <c r="D60" s="2">
        <v>1450</v>
      </c>
      <c r="E60" s="2" t="s">
        <v>11</v>
      </c>
      <c r="F60" s="2" t="s">
        <v>65</v>
      </c>
      <c r="G60" s="2">
        <v>2</v>
      </c>
    </row>
    <row r="61" spans="1:7" x14ac:dyDescent="0.3">
      <c r="A61" s="1">
        <v>46145</v>
      </c>
      <c r="B61" s="2" t="s">
        <v>32</v>
      </c>
      <c r="C61" s="2" t="s">
        <v>3</v>
      </c>
      <c r="D61" s="2">
        <v>999</v>
      </c>
      <c r="E61" s="2" t="s">
        <v>12</v>
      </c>
      <c r="F61" s="2" t="s">
        <v>65</v>
      </c>
      <c r="G61" s="2">
        <v>3</v>
      </c>
    </row>
    <row r="62" spans="1:7" x14ac:dyDescent="0.3">
      <c r="A62" s="1">
        <v>46146</v>
      </c>
      <c r="B62" s="2" t="s">
        <v>67</v>
      </c>
      <c r="C62" s="2" t="s">
        <v>4</v>
      </c>
      <c r="D62" s="2">
        <v>149</v>
      </c>
      <c r="E62" s="2" t="s">
        <v>9</v>
      </c>
      <c r="F62" s="2" t="s">
        <v>65</v>
      </c>
      <c r="G62" s="2">
        <v>4</v>
      </c>
    </row>
    <row r="63" spans="1:7" x14ac:dyDescent="0.3">
      <c r="A63" s="1">
        <v>46147</v>
      </c>
      <c r="B63" s="2" t="s">
        <v>68</v>
      </c>
      <c r="C63" s="2" t="s">
        <v>5</v>
      </c>
      <c r="D63" s="2">
        <v>4500</v>
      </c>
      <c r="E63" s="2" t="s">
        <v>11</v>
      </c>
      <c r="F63" s="2" t="s">
        <v>65</v>
      </c>
      <c r="G63" s="2">
        <v>5</v>
      </c>
    </row>
    <row r="64" spans="1:7" x14ac:dyDescent="0.3">
      <c r="A64" s="1">
        <v>46157</v>
      </c>
      <c r="B64" s="2" t="s">
        <v>69</v>
      </c>
      <c r="C64" s="2" t="s">
        <v>7</v>
      </c>
      <c r="D64" s="2">
        <v>800</v>
      </c>
      <c r="E64" s="2" t="s">
        <v>10</v>
      </c>
      <c r="F64" s="2" t="s">
        <v>65</v>
      </c>
      <c r="G64" s="2">
        <v>15</v>
      </c>
    </row>
    <row r="65" spans="1:7" x14ac:dyDescent="0.3">
      <c r="A65" s="1">
        <v>46162</v>
      </c>
      <c r="B65" s="2" t="s">
        <v>70</v>
      </c>
      <c r="C65" s="2" t="s">
        <v>2</v>
      </c>
      <c r="D65" s="2">
        <v>320</v>
      </c>
      <c r="E65" s="2" t="s">
        <v>9</v>
      </c>
      <c r="F65" s="2" t="s">
        <v>65</v>
      </c>
      <c r="G65" s="2">
        <v>20</v>
      </c>
    </row>
    <row r="66" spans="1:7" x14ac:dyDescent="0.3">
      <c r="A66" s="1">
        <v>46167</v>
      </c>
      <c r="B66" s="2" t="s">
        <v>44</v>
      </c>
      <c r="C66" s="2" t="s">
        <v>1</v>
      </c>
      <c r="D66" s="2">
        <v>920</v>
      </c>
      <c r="E66" s="2" t="s">
        <v>11</v>
      </c>
      <c r="F66" s="2" t="s">
        <v>65</v>
      </c>
      <c r="G66" s="2">
        <v>25</v>
      </c>
    </row>
    <row r="67" spans="1:7" x14ac:dyDescent="0.3">
      <c r="A67" s="1">
        <v>46173</v>
      </c>
      <c r="B67" s="2" t="s">
        <v>71</v>
      </c>
      <c r="C67" s="2" t="s">
        <v>6</v>
      </c>
      <c r="D67" s="2">
        <v>850</v>
      </c>
      <c r="E67" s="2" t="s">
        <v>10</v>
      </c>
      <c r="F67" s="2" t="s">
        <v>65</v>
      </c>
      <c r="G67" s="2">
        <v>31</v>
      </c>
    </row>
    <row r="68" spans="1:7" x14ac:dyDescent="0.3">
      <c r="A68" s="1">
        <v>46174</v>
      </c>
      <c r="B68" s="2" t="s">
        <v>45</v>
      </c>
      <c r="C68" s="2" t="s">
        <v>1</v>
      </c>
      <c r="D68" s="2">
        <v>470</v>
      </c>
      <c r="E68" s="2" t="s">
        <v>9</v>
      </c>
      <c r="F68" s="2" t="s">
        <v>72</v>
      </c>
      <c r="G68" s="2">
        <v>1</v>
      </c>
    </row>
    <row r="69" spans="1:7" x14ac:dyDescent="0.3">
      <c r="A69" s="1">
        <v>46175</v>
      </c>
      <c r="B69" s="2" t="s">
        <v>34</v>
      </c>
      <c r="C69" s="2" t="s">
        <v>2</v>
      </c>
      <c r="D69" s="2">
        <v>680</v>
      </c>
      <c r="E69" s="2" t="s">
        <v>11</v>
      </c>
      <c r="F69" s="2" t="s">
        <v>72</v>
      </c>
      <c r="G69" s="2">
        <v>2</v>
      </c>
    </row>
    <row r="70" spans="1:7" x14ac:dyDescent="0.3">
      <c r="A70" s="1">
        <v>46176</v>
      </c>
      <c r="B70" s="2" t="s">
        <v>24</v>
      </c>
      <c r="C70" s="2" t="s">
        <v>3</v>
      </c>
      <c r="D70" s="2">
        <v>299</v>
      </c>
      <c r="E70" s="2" t="s">
        <v>12</v>
      </c>
      <c r="F70" s="2" t="s">
        <v>72</v>
      </c>
      <c r="G70" s="2">
        <v>3</v>
      </c>
    </row>
    <row r="71" spans="1:7" x14ac:dyDescent="0.3">
      <c r="A71" s="1">
        <v>46177</v>
      </c>
      <c r="B71" s="2" t="s">
        <v>73</v>
      </c>
      <c r="C71" s="2" t="s">
        <v>4</v>
      </c>
      <c r="D71" s="2">
        <v>1800</v>
      </c>
      <c r="E71" s="2" t="s">
        <v>10</v>
      </c>
      <c r="F71" s="2" t="s">
        <v>72</v>
      </c>
      <c r="G71" s="2">
        <v>4</v>
      </c>
    </row>
    <row r="72" spans="1:7" x14ac:dyDescent="0.3">
      <c r="A72" s="1">
        <v>46178</v>
      </c>
      <c r="B72" s="2" t="s">
        <v>74</v>
      </c>
      <c r="C72" s="2" t="s">
        <v>5</v>
      </c>
      <c r="D72" s="2">
        <v>1200</v>
      </c>
      <c r="E72" s="2" t="s">
        <v>11</v>
      </c>
      <c r="F72" s="2" t="s">
        <v>72</v>
      </c>
      <c r="G72" s="2">
        <v>5</v>
      </c>
    </row>
    <row r="73" spans="1:7" x14ac:dyDescent="0.3">
      <c r="A73" s="1">
        <v>46188</v>
      </c>
      <c r="B73" s="2" t="s">
        <v>61</v>
      </c>
      <c r="C73" s="2" t="s">
        <v>7</v>
      </c>
      <c r="D73" s="2">
        <v>25000</v>
      </c>
      <c r="E73" s="2" t="s">
        <v>9</v>
      </c>
      <c r="F73" s="2" t="s">
        <v>72</v>
      </c>
      <c r="G73" s="2">
        <v>15</v>
      </c>
    </row>
    <row r="74" spans="1:7" x14ac:dyDescent="0.3">
      <c r="A74" s="1">
        <v>46193</v>
      </c>
      <c r="B74" s="2" t="s">
        <v>75</v>
      </c>
      <c r="C74" s="2" t="s">
        <v>1</v>
      </c>
      <c r="D74" s="2">
        <v>620</v>
      </c>
      <c r="E74" s="2" t="s">
        <v>9</v>
      </c>
      <c r="F74" s="2" t="s">
        <v>72</v>
      </c>
      <c r="G74" s="2">
        <v>20</v>
      </c>
    </row>
    <row r="75" spans="1:7" x14ac:dyDescent="0.3">
      <c r="A75" s="1">
        <v>46198</v>
      </c>
      <c r="B75" s="2" t="s">
        <v>76</v>
      </c>
      <c r="C75" s="2" t="s">
        <v>1</v>
      </c>
      <c r="D75" s="2">
        <v>450</v>
      </c>
      <c r="E75" s="2" t="s">
        <v>11</v>
      </c>
      <c r="F75" s="2" t="s">
        <v>72</v>
      </c>
      <c r="G75" s="2">
        <v>25</v>
      </c>
    </row>
    <row r="76" spans="1:7" x14ac:dyDescent="0.3">
      <c r="A76" s="1">
        <v>46203</v>
      </c>
      <c r="B76" s="2" t="s">
        <v>77</v>
      </c>
      <c r="C76" s="2" t="s">
        <v>6</v>
      </c>
      <c r="D76" s="2">
        <v>750</v>
      </c>
      <c r="E76" s="2" t="s">
        <v>12</v>
      </c>
      <c r="F76" s="2" t="s">
        <v>72</v>
      </c>
      <c r="G76" s="2">
        <v>30</v>
      </c>
    </row>
    <row r="77" spans="1:7" x14ac:dyDescent="0.3">
      <c r="A77" s="1">
        <v>46204</v>
      </c>
      <c r="B77" s="2" t="s">
        <v>45</v>
      </c>
      <c r="C77" s="2" t="s">
        <v>1</v>
      </c>
      <c r="D77" s="2">
        <v>495</v>
      </c>
      <c r="E77" s="2" t="s">
        <v>9</v>
      </c>
      <c r="F77" s="2" t="s">
        <v>78</v>
      </c>
      <c r="G77" s="2">
        <v>1</v>
      </c>
    </row>
    <row r="78" spans="1:7" x14ac:dyDescent="0.3">
      <c r="A78" s="1">
        <v>46205</v>
      </c>
      <c r="B78" s="2" t="s">
        <v>79</v>
      </c>
      <c r="C78" s="2" t="s">
        <v>2</v>
      </c>
      <c r="D78" s="2">
        <v>800</v>
      </c>
      <c r="E78" s="2" t="s">
        <v>10</v>
      </c>
      <c r="F78" s="2" t="s">
        <v>78</v>
      </c>
      <c r="G78" s="2">
        <v>2</v>
      </c>
    </row>
    <row r="79" spans="1:7" x14ac:dyDescent="0.3">
      <c r="A79" s="1">
        <v>46206</v>
      </c>
      <c r="B79" s="2" t="s">
        <v>80</v>
      </c>
      <c r="C79" s="2" t="s">
        <v>3</v>
      </c>
      <c r="D79" s="2">
        <v>1350</v>
      </c>
      <c r="E79" s="2" t="s">
        <v>12</v>
      </c>
      <c r="F79" s="2" t="s">
        <v>78</v>
      </c>
      <c r="G79" s="2">
        <v>3</v>
      </c>
    </row>
    <row r="80" spans="1:7" x14ac:dyDescent="0.3">
      <c r="A80" s="1">
        <v>46207</v>
      </c>
      <c r="B80" s="2" t="s">
        <v>81</v>
      </c>
      <c r="C80" s="2" t="s">
        <v>4</v>
      </c>
      <c r="D80" s="2">
        <v>650</v>
      </c>
      <c r="E80" s="2" t="s">
        <v>11</v>
      </c>
      <c r="F80" s="2" t="s">
        <v>78</v>
      </c>
      <c r="G80" s="2">
        <v>4</v>
      </c>
    </row>
    <row r="81" spans="1:7" x14ac:dyDescent="0.3">
      <c r="A81" s="1">
        <v>46208</v>
      </c>
      <c r="B81" s="2" t="s">
        <v>82</v>
      </c>
      <c r="C81" s="2" t="s">
        <v>5</v>
      </c>
      <c r="D81" s="2">
        <v>950</v>
      </c>
      <c r="E81" s="2" t="s">
        <v>9</v>
      </c>
      <c r="F81" s="2" t="s">
        <v>78</v>
      </c>
      <c r="G81" s="2">
        <v>5</v>
      </c>
    </row>
    <row r="82" spans="1:7" x14ac:dyDescent="0.3">
      <c r="A82" s="1">
        <v>46218</v>
      </c>
      <c r="B82" s="2" t="s">
        <v>32</v>
      </c>
      <c r="C82" s="2" t="s">
        <v>3</v>
      </c>
      <c r="D82" s="2">
        <v>999</v>
      </c>
      <c r="E82" s="2" t="s">
        <v>11</v>
      </c>
      <c r="F82" s="2" t="s">
        <v>78</v>
      </c>
      <c r="G82" s="2">
        <v>15</v>
      </c>
    </row>
    <row r="83" spans="1:7" x14ac:dyDescent="0.3">
      <c r="A83" s="1">
        <v>46223</v>
      </c>
      <c r="B83" s="2" t="s">
        <v>49</v>
      </c>
      <c r="C83" s="2" t="s">
        <v>1</v>
      </c>
      <c r="D83" s="2">
        <v>380</v>
      </c>
      <c r="E83" s="2" t="s">
        <v>10</v>
      </c>
      <c r="F83" s="2" t="s">
        <v>78</v>
      </c>
      <c r="G83" s="2">
        <v>20</v>
      </c>
    </row>
    <row r="84" spans="1:7" x14ac:dyDescent="0.3">
      <c r="A84" s="1">
        <v>46228</v>
      </c>
      <c r="B84" s="2" t="s">
        <v>50</v>
      </c>
      <c r="C84" s="2" t="s">
        <v>6</v>
      </c>
      <c r="D84" s="2">
        <v>420</v>
      </c>
      <c r="E84" s="2" t="s">
        <v>9</v>
      </c>
      <c r="F84" s="2" t="s">
        <v>78</v>
      </c>
      <c r="G84" s="2">
        <v>25</v>
      </c>
    </row>
    <row r="85" spans="1:7" x14ac:dyDescent="0.3">
      <c r="A85" s="1">
        <v>46234</v>
      </c>
      <c r="B85" s="2" t="s">
        <v>83</v>
      </c>
      <c r="C85" s="2" t="s">
        <v>2</v>
      </c>
      <c r="D85" s="2">
        <v>2800</v>
      </c>
      <c r="E85" s="2" t="s">
        <v>11</v>
      </c>
      <c r="F85" s="2" t="s">
        <v>78</v>
      </c>
      <c r="G85" s="2">
        <v>31</v>
      </c>
    </row>
    <row r="86" spans="1:7" x14ac:dyDescent="0.3">
      <c r="A86" s="1">
        <v>46235</v>
      </c>
      <c r="B86" s="2" t="s">
        <v>45</v>
      </c>
      <c r="C86" s="2" t="s">
        <v>1</v>
      </c>
      <c r="D86" s="2">
        <v>530</v>
      </c>
      <c r="E86" s="2" t="s">
        <v>9</v>
      </c>
      <c r="F86" s="2" t="s">
        <v>84</v>
      </c>
      <c r="G86" s="2">
        <v>1</v>
      </c>
    </row>
    <row r="87" spans="1:7" x14ac:dyDescent="0.3">
      <c r="A87" s="1">
        <v>46236</v>
      </c>
      <c r="B87" s="2" t="s">
        <v>85</v>
      </c>
      <c r="C87" s="2" t="s">
        <v>2</v>
      </c>
      <c r="D87" s="2">
        <v>2200</v>
      </c>
      <c r="E87" s="2" t="s">
        <v>11</v>
      </c>
      <c r="F87" s="2" t="s">
        <v>84</v>
      </c>
      <c r="G87" s="2">
        <v>2</v>
      </c>
    </row>
    <row r="88" spans="1:7" x14ac:dyDescent="0.3">
      <c r="A88" s="1">
        <v>46237</v>
      </c>
      <c r="B88" s="2" t="s">
        <v>38</v>
      </c>
      <c r="C88" s="2" t="s">
        <v>3</v>
      </c>
      <c r="D88" s="2">
        <v>450</v>
      </c>
      <c r="E88" s="2" t="s">
        <v>12</v>
      </c>
      <c r="F88" s="2" t="s">
        <v>84</v>
      </c>
      <c r="G88" s="2">
        <v>3</v>
      </c>
    </row>
    <row r="89" spans="1:7" x14ac:dyDescent="0.3">
      <c r="A89" s="1">
        <v>46238</v>
      </c>
      <c r="B89" s="2" t="s">
        <v>86</v>
      </c>
      <c r="C89" s="2" t="s">
        <v>4</v>
      </c>
      <c r="D89" s="2">
        <v>1400</v>
      </c>
      <c r="E89" s="2" t="s">
        <v>10</v>
      </c>
      <c r="F89" s="2" t="s">
        <v>84</v>
      </c>
      <c r="G89" s="2">
        <v>4</v>
      </c>
    </row>
    <row r="90" spans="1:7" x14ac:dyDescent="0.3">
      <c r="A90" s="1">
        <v>46239</v>
      </c>
      <c r="B90" s="2" t="s">
        <v>87</v>
      </c>
      <c r="C90" s="2" t="s">
        <v>5</v>
      </c>
      <c r="D90" s="2">
        <v>1800</v>
      </c>
      <c r="E90" s="2" t="s">
        <v>11</v>
      </c>
      <c r="F90" s="2" t="s">
        <v>84</v>
      </c>
      <c r="G90" s="2">
        <v>5</v>
      </c>
    </row>
    <row r="91" spans="1:7" x14ac:dyDescent="0.3">
      <c r="A91" s="1">
        <v>46249</v>
      </c>
      <c r="B91" s="2" t="s">
        <v>61</v>
      </c>
      <c r="C91" s="2" t="s">
        <v>7</v>
      </c>
      <c r="D91" s="2">
        <v>25000</v>
      </c>
      <c r="E91" s="2" t="s">
        <v>9</v>
      </c>
      <c r="F91" s="2" t="s">
        <v>84</v>
      </c>
      <c r="G91" s="2">
        <v>15</v>
      </c>
    </row>
    <row r="92" spans="1:7" x14ac:dyDescent="0.3">
      <c r="A92" s="1">
        <v>46254</v>
      </c>
      <c r="B92" s="2" t="s">
        <v>88</v>
      </c>
      <c r="C92" s="2" t="s">
        <v>1</v>
      </c>
      <c r="D92" s="2">
        <v>520</v>
      </c>
      <c r="E92" s="2" t="s">
        <v>9</v>
      </c>
      <c r="F92" s="2" t="s">
        <v>84</v>
      </c>
      <c r="G92" s="2">
        <v>20</v>
      </c>
    </row>
    <row r="93" spans="1:7" x14ac:dyDescent="0.3">
      <c r="A93" s="1">
        <v>46259</v>
      </c>
      <c r="B93" s="2" t="s">
        <v>89</v>
      </c>
      <c r="C93" s="2" t="s">
        <v>1</v>
      </c>
      <c r="D93" s="2">
        <v>380</v>
      </c>
      <c r="E93" s="2" t="s">
        <v>11</v>
      </c>
      <c r="F93" s="2" t="s">
        <v>84</v>
      </c>
      <c r="G93" s="2">
        <v>25</v>
      </c>
    </row>
    <row r="94" spans="1:7" x14ac:dyDescent="0.3">
      <c r="A94" s="1">
        <v>46265</v>
      </c>
      <c r="B94" s="2" t="s">
        <v>90</v>
      </c>
      <c r="C94" s="2" t="s">
        <v>6</v>
      </c>
      <c r="D94" s="2">
        <v>600</v>
      </c>
      <c r="E94" s="2" t="s">
        <v>10</v>
      </c>
      <c r="F94" s="2" t="s">
        <v>84</v>
      </c>
      <c r="G94" s="2">
        <v>31</v>
      </c>
    </row>
    <row r="95" spans="1:7" x14ac:dyDescent="0.3">
      <c r="A95" s="1">
        <v>46266</v>
      </c>
      <c r="B95" s="2" t="s">
        <v>45</v>
      </c>
      <c r="C95" s="2" t="s">
        <v>1</v>
      </c>
      <c r="D95" s="2">
        <v>500</v>
      </c>
      <c r="E95" s="2" t="s">
        <v>9</v>
      </c>
      <c r="F95" s="2" t="s">
        <v>91</v>
      </c>
      <c r="G95" s="2">
        <v>1</v>
      </c>
    </row>
    <row r="96" spans="1:7" x14ac:dyDescent="0.3">
      <c r="A96" s="1">
        <v>46267</v>
      </c>
      <c r="B96" s="2" t="s">
        <v>34</v>
      </c>
      <c r="C96" s="2" t="s">
        <v>2</v>
      </c>
      <c r="D96" s="2">
        <v>700</v>
      </c>
      <c r="E96" s="2" t="s">
        <v>11</v>
      </c>
      <c r="F96" s="2" t="s">
        <v>91</v>
      </c>
      <c r="G96" s="2">
        <v>2</v>
      </c>
    </row>
    <row r="97" spans="1:7" x14ac:dyDescent="0.3">
      <c r="A97" s="1">
        <v>46268</v>
      </c>
      <c r="B97" s="2" t="s">
        <v>92</v>
      </c>
      <c r="C97" s="2" t="s">
        <v>3</v>
      </c>
      <c r="D97" s="2">
        <v>850</v>
      </c>
      <c r="E97" s="2" t="s">
        <v>12</v>
      </c>
      <c r="F97" s="2" t="s">
        <v>91</v>
      </c>
      <c r="G97" s="2">
        <v>3</v>
      </c>
    </row>
    <row r="98" spans="1:7" x14ac:dyDescent="0.3">
      <c r="A98" s="1">
        <v>46269</v>
      </c>
      <c r="B98" s="2" t="s">
        <v>47</v>
      </c>
      <c r="C98" s="2" t="s">
        <v>4</v>
      </c>
      <c r="D98" s="2">
        <v>320</v>
      </c>
      <c r="E98" s="2" t="s">
        <v>10</v>
      </c>
      <c r="F98" s="2" t="s">
        <v>91</v>
      </c>
      <c r="G98" s="2">
        <v>4</v>
      </c>
    </row>
    <row r="99" spans="1:7" x14ac:dyDescent="0.3">
      <c r="A99" s="1">
        <v>46270</v>
      </c>
      <c r="B99" s="2" t="s">
        <v>93</v>
      </c>
      <c r="C99" s="2" t="s">
        <v>5</v>
      </c>
      <c r="D99" s="2">
        <v>900</v>
      </c>
      <c r="E99" s="2" t="s">
        <v>9</v>
      </c>
      <c r="F99" s="2" t="s">
        <v>91</v>
      </c>
      <c r="G99" s="2">
        <v>5</v>
      </c>
    </row>
    <row r="100" spans="1:7" x14ac:dyDescent="0.3">
      <c r="A100" s="1">
        <v>46280</v>
      </c>
      <c r="B100" s="2" t="s">
        <v>94</v>
      </c>
      <c r="C100" s="2" t="s">
        <v>7</v>
      </c>
      <c r="D100" s="2">
        <v>4500</v>
      </c>
      <c r="E100" s="2" t="s">
        <v>11</v>
      </c>
      <c r="F100" s="2" t="s">
        <v>91</v>
      </c>
      <c r="G100" s="2">
        <v>15</v>
      </c>
    </row>
    <row r="101" spans="1:7" x14ac:dyDescent="0.3">
      <c r="A101" s="1">
        <v>46285</v>
      </c>
      <c r="B101" s="2" t="s">
        <v>95</v>
      </c>
      <c r="C101" s="2" t="s">
        <v>1</v>
      </c>
      <c r="D101" s="2">
        <v>280</v>
      </c>
      <c r="E101" s="2" t="s">
        <v>9</v>
      </c>
      <c r="F101" s="2" t="s">
        <v>91</v>
      </c>
      <c r="G101" s="2">
        <v>20</v>
      </c>
    </row>
    <row r="102" spans="1:7" x14ac:dyDescent="0.3">
      <c r="A102" s="1">
        <v>46290</v>
      </c>
      <c r="B102" s="2" t="s">
        <v>44</v>
      </c>
      <c r="C102" s="2" t="s">
        <v>1</v>
      </c>
      <c r="D102" s="2">
        <v>780</v>
      </c>
      <c r="E102" s="2" t="s">
        <v>11</v>
      </c>
      <c r="F102" s="2" t="s">
        <v>91</v>
      </c>
      <c r="G102" s="2">
        <v>25</v>
      </c>
    </row>
    <row r="103" spans="1:7" x14ac:dyDescent="0.3">
      <c r="A103" s="1">
        <v>46295</v>
      </c>
      <c r="B103" s="2" t="s">
        <v>96</v>
      </c>
      <c r="C103" s="2" t="s">
        <v>6</v>
      </c>
      <c r="D103" s="2">
        <v>850</v>
      </c>
      <c r="E103" s="2" t="s">
        <v>12</v>
      </c>
      <c r="F103" s="2" t="s">
        <v>91</v>
      </c>
      <c r="G103" s="2">
        <v>30</v>
      </c>
    </row>
    <row r="104" spans="1:7" x14ac:dyDescent="0.3">
      <c r="A104" s="1">
        <v>46296</v>
      </c>
      <c r="B104" s="2" t="s">
        <v>45</v>
      </c>
      <c r="C104" s="2" t="s">
        <v>1</v>
      </c>
      <c r="D104" s="2">
        <v>460</v>
      </c>
      <c r="E104" s="2" t="s">
        <v>9</v>
      </c>
      <c r="F104" s="2" t="s">
        <v>97</v>
      </c>
      <c r="G104" s="2">
        <v>1</v>
      </c>
    </row>
    <row r="105" spans="1:7" x14ac:dyDescent="0.3">
      <c r="A105" s="1">
        <v>46297</v>
      </c>
      <c r="B105" s="2" t="s">
        <v>40</v>
      </c>
      <c r="C105" s="2" t="s">
        <v>2</v>
      </c>
      <c r="D105" s="2">
        <v>500</v>
      </c>
      <c r="E105" s="2" t="s">
        <v>10</v>
      </c>
      <c r="F105" s="2" t="s">
        <v>97</v>
      </c>
      <c r="G105" s="2">
        <v>2</v>
      </c>
    </row>
    <row r="106" spans="1:7" x14ac:dyDescent="0.3">
      <c r="A106" s="1">
        <v>46298</v>
      </c>
      <c r="B106" s="2" t="s">
        <v>24</v>
      </c>
      <c r="C106" s="2" t="s">
        <v>3</v>
      </c>
      <c r="D106" s="2">
        <v>299</v>
      </c>
      <c r="E106" s="2" t="s">
        <v>11</v>
      </c>
      <c r="F106" s="2" t="s">
        <v>97</v>
      </c>
      <c r="G106" s="2">
        <v>3</v>
      </c>
    </row>
    <row r="107" spans="1:7" x14ac:dyDescent="0.3">
      <c r="A107" s="1">
        <v>46299</v>
      </c>
      <c r="B107" s="2" t="s">
        <v>98</v>
      </c>
      <c r="C107" s="2" t="s">
        <v>4</v>
      </c>
      <c r="D107" s="2">
        <v>450</v>
      </c>
      <c r="E107" s="2" t="s">
        <v>9</v>
      </c>
      <c r="F107" s="2" t="s">
        <v>97</v>
      </c>
      <c r="G107" s="2">
        <v>4</v>
      </c>
    </row>
    <row r="108" spans="1:7" x14ac:dyDescent="0.3">
      <c r="A108" s="1">
        <v>46300</v>
      </c>
      <c r="B108" s="2" t="s">
        <v>99</v>
      </c>
      <c r="C108" s="2" t="s">
        <v>5</v>
      </c>
      <c r="D108" s="2">
        <v>1500</v>
      </c>
      <c r="E108" s="2" t="s">
        <v>11</v>
      </c>
      <c r="F108" s="2" t="s">
        <v>97</v>
      </c>
      <c r="G108" s="2">
        <v>5</v>
      </c>
    </row>
    <row r="109" spans="1:7" x14ac:dyDescent="0.3">
      <c r="A109" s="1">
        <v>46310</v>
      </c>
      <c r="B109" s="2" t="s">
        <v>61</v>
      </c>
      <c r="C109" s="2" t="s">
        <v>7</v>
      </c>
      <c r="D109" s="2">
        <v>25000</v>
      </c>
      <c r="E109" s="2" t="s">
        <v>12</v>
      </c>
      <c r="F109" s="2" t="s">
        <v>97</v>
      </c>
      <c r="G109" s="2">
        <v>15</v>
      </c>
    </row>
    <row r="110" spans="1:7" x14ac:dyDescent="0.3">
      <c r="A110" s="1">
        <v>46315</v>
      </c>
      <c r="B110" s="2" t="s">
        <v>63</v>
      </c>
      <c r="C110" s="2" t="s">
        <v>1</v>
      </c>
      <c r="D110" s="2">
        <v>250</v>
      </c>
      <c r="E110" s="2" t="s">
        <v>10</v>
      </c>
      <c r="F110" s="2" t="s">
        <v>97</v>
      </c>
      <c r="G110" s="2">
        <v>20</v>
      </c>
    </row>
    <row r="111" spans="1:7" x14ac:dyDescent="0.3">
      <c r="A111" s="1">
        <v>46320</v>
      </c>
      <c r="B111" s="2" t="s">
        <v>50</v>
      </c>
      <c r="C111" s="2" t="s">
        <v>6</v>
      </c>
      <c r="D111" s="2">
        <v>380</v>
      </c>
      <c r="E111" s="2" t="s">
        <v>9</v>
      </c>
      <c r="F111" s="2" t="s">
        <v>97</v>
      </c>
      <c r="G111" s="2">
        <v>25</v>
      </c>
    </row>
    <row r="112" spans="1:7" x14ac:dyDescent="0.3">
      <c r="A112" s="1">
        <v>46326</v>
      </c>
      <c r="B112" s="2" t="s">
        <v>100</v>
      </c>
      <c r="C112" s="2" t="s">
        <v>6</v>
      </c>
      <c r="D112" s="2">
        <v>1100</v>
      </c>
      <c r="E112" s="2" t="s">
        <v>11</v>
      </c>
      <c r="F112" s="2" t="s">
        <v>97</v>
      </c>
      <c r="G112" s="2">
        <v>31</v>
      </c>
    </row>
    <row r="113" spans="1:7" x14ac:dyDescent="0.3">
      <c r="A113" s="1">
        <v>46327</v>
      </c>
      <c r="B113" s="2" t="s">
        <v>45</v>
      </c>
      <c r="C113" s="2" t="s">
        <v>1</v>
      </c>
      <c r="D113" s="2">
        <v>525</v>
      </c>
      <c r="E113" s="2" t="s">
        <v>9</v>
      </c>
      <c r="F113" s="2" t="s">
        <v>101</v>
      </c>
      <c r="G113" s="2">
        <v>1</v>
      </c>
    </row>
    <row r="114" spans="1:7" x14ac:dyDescent="0.3">
      <c r="A114" s="1">
        <v>46328</v>
      </c>
      <c r="B114" s="2" t="s">
        <v>66</v>
      </c>
      <c r="C114" s="2" t="s">
        <v>2</v>
      </c>
      <c r="D114" s="2">
        <v>1850</v>
      </c>
      <c r="E114" s="2" t="s">
        <v>11</v>
      </c>
      <c r="F114" s="2" t="s">
        <v>101</v>
      </c>
      <c r="G114" s="2">
        <v>2</v>
      </c>
    </row>
    <row r="115" spans="1:7" x14ac:dyDescent="0.3">
      <c r="A115" s="1">
        <v>46329</v>
      </c>
      <c r="B115" s="2" t="s">
        <v>32</v>
      </c>
      <c r="C115" s="2" t="s">
        <v>3</v>
      </c>
      <c r="D115" s="2">
        <v>999</v>
      </c>
      <c r="E115" s="2" t="s">
        <v>12</v>
      </c>
      <c r="F115" s="2" t="s">
        <v>101</v>
      </c>
      <c r="G115" s="2">
        <v>3</v>
      </c>
    </row>
    <row r="116" spans="1:7" x14ac:dyDescent="0.3">
      <c r="A116" s="1">
        <v>46330</v>
      </c>
      <c r="B116" s="2" t="s">
        <v>59</v>
      </c>
      <c r="C116" s="2" t="s">
        <v>4</v>
      </c>
      <c r="D116" s="2">
        <v>2200</v>
      </c>
      <c r="E116" s="2" t="s">
        <v>10</v>
      </c>
      <c r="F116" s="2" t="s">
        <v>101</v>
      </c>
      <c r="G116" s="2">
        <v>4</v>
      </c>
    </row>
    <row r="117" spans="1:7" x14ac:dyDescent="0.3">
      <c r="A117" s="1">
        <v>46331</v>
      </c>
      <c r="B117" s="2" t="s">
        <v>102</v>
      </c>
      <c r="C117" s="2" t="s">
        <v>5</v>
      </c>
      <c r="D117" s="2">
        <v>3200</v>
      </c>
      <c r="E117" s="2" t="s">
        <v>11</v>
      </c>
      <c r="F117" s="2" t="s">
        <v>101</v>
      </c>
      <c r="G117" s="2">
        <v>5</v>
      </c>
    </row>
    <row r="118" spans="1:7" x14ac:dyDescent="0.3">
      <c r="A118" s="1">
        <v>46341</v>
      </c>
      <c r="B118" s="2" t="s">
        <v>58</v>
      </c>
      <c r="C118" s="2" t="s">
        <v>3</v>
      </c>
      <c r="D118" s="2">
        <v>650</v>
      </c>
      <c r="E118" s="2" t="s">
        <v>9</v>
      </c>
      <c r="F118" s="2" t="s">
        <v>101</v>
      </c>
      <c r="G118" s="2">
        <v>15</v>
      </c>
    </row>
    <row r="119" spans="1:7" x14ac:dyDescent="0.3">
      <c r="A119" s="1">
        <v>46346</v>
      </c>
      <c r="B119" s="2" t="s">
        <v>49</v>
      </c>
      <c r="C119" s="2" t="s">
        <v>1</v>
      </c>
      <c r="D119" s="2">
        <v>420</v>
      </c>
      <c r="E119" s="2" t="s">
        <v>11</v>
      </c>
      <c r="F119" s="2" t="s">
        <v>101</v>
      </c>
      <c r="G119" s="2">
        <v>20</v>
      </c>
    </row>
    <row r="120" spans="1:7" x14ac:dyDescent="0.3">
      <c r="A120" s="1">
        <v>46351</v>
      </c>
      <c r="B120" s="2" t="s">
        <v>103</v>
      </c>
      <c r="C120" s="2" t="s">
        <v>6</v>
      </c>
      <c r="D120" s="2">
        <v>900</v>
      </c>
      <c r="E120" s="2" t="s">
        <v>10</v>
      </c>
      <c r="F120" s="2" t="s">
        <v>101</v>
      </c>
      <c r="G120" s="2">
        <v>25</v>
      </c>
    </row>
    <row r="121" spans="1:7" x14ac:dyDescent="0.3">
      <c r="A121" s="1">
        <v>46356</v>
      </c>
      <c r="B121" s="2" t="s">
        <v>104</v>
      </c>
      <c r="C121" s="2" t="s">
        <v>2</v>
      </c>
      <c r="D121" s="2">
        <v>12500</v>
      </c>
      <c r="E121" s="2" t="s">
        <v>12</v>
      </c>
      <c r="F121" s="2" t="s">
        <v>101</v>
      </c>
      <c r="G121" s="2">
        <v>30</v>
      </c>
    </row>
    <row r="122" spans="1:7" x14ac:dyDescent="0.3">
      <c r="A122" s="1">
        <v>46357</v>
      </c>
      <c r="B122" s="2" t="s">
        <v>45</v>
      </c>
      <c r="C122" s="2" t="s">
        <v>1</v>
      </c>
      <c r="D122" s="2">
        <v>540</v>
      </c>
      <c r="E122" s="2" t="s">
        <v>9</v>
      </c>
      <c r="F122" s="2" t="s">
        <v>105</v>
      </c>
      <c r="G122" s="2">
        <v>1</v>
      </c>
    </row>
    <row r="123" spans="1:7" x14ac:dyDescent="0.3">
      <c r="A123" s="1">
        <v>46358</v>
      </c>
      <c r="B123" s="2" t="s">
        <v>34</v>
      </c>
      <c r="C123" s="2" t="s">
        <v>2</v>
      </c>
      <c r="D123" s="2">
        <v>720</v>
      </c>
      <c r="E123" s="2" t="s">
        <v>11</v>
      </c>
      <c r="F123" s="2" t="s">
        <v>105</v>
      </c>
      <c r="G123" s="2">
        <v>2</v>
      </c>
    </row>
    <row r="124" spans="1:7" x14ac:dyDescent="0.3">
      <c r="A124" s="1">
        <v>46359</v>
      </c>
      <c r="B124" s="2" t="s">
        <v>80</v>
      </c>
      <c r="C124" s="2" t="s">
        <v>3</v>
      </c>
      <c r="D124" s="2">
        <v>1450</v>
      </c>
      <c r="E124" s="2" t="s">
        <v>12</v>
      </c>
      <c r="F124" s="2" t="s">
        <v>105</v>
      </c>
      <c r="G124" s="2">
        <v>3</v>
      </c>
    </row>
    <row r="125" spans="1:7" x14ac:dyDescent="0.3">
      <c r="A125" s="1">
        <v>46360</v>
      </c>
      <c r="B125" s="2" t="s">
        <v>106</v>
      </c>
      <c r="C125" s="2" t="s">
        <v>4</v>
      </c>
      <c r="D125" s="2">
        <v>950</v>
      </c>
      <c r="E125" s="2" t="s">
        <v>10</v>
      </c>
      <c r="F125" s="2" t="s">
        <v>105</v>
      </c>
      <c r="G125" s="2">
        <v>4</v>
      </c>
    </row>
    <row r="126" spans="1:7" x14ac:dyDescent="0.3">
      <c r="A126" s="1">
        <v>46361</v>
      </c>
      <c r="B126" s="2" t="s">
        <v>107</v>
      </c>
      <c r="C126" s="2" t="s">
        <v>5</v>
      </c>
      <c r="D126" s="2">
        <v>2800</v>
      </c>
      <c r="E126" s="2" t="s">
        <v>11</v>
      </c>
      <c r="F126" s="2" t="s">
        <v>105</v>
      </c>
      <c r="G126" s="2">
        <v>5</v>
      </c>
    </row>
    <row r="127" spans="1:7" x14ac:dyDescent="0.3">
      <c r="A127" s="1">
        <v>46371</v>
      </c>
      <c r="B127" s="2" t="s">
        <v>61</v>
      </c>
      <c r="C127" s="2" t="s">
        <v>7</v>
      </c>
      <c r="D127" s="2">
        <v>25000</v>
      </c>
      <c r="E127" s="2" t="s">
        <v>9</v>
      </c>
      <c r="F127" s="2" t="s">
        <v>105</v>
      </c>
      <c r="G127" s="2">
        <v>15</v>
      </c>
    </row>
    <row r="128" spans="1:7" x14ac:dyDescent="0.3">
      <c r="A128" s="1">
        <v>46376</v>
      </c>
      <c r="B128" s="2" t="s">
        <v>108</v>
      </c>
      <c r="C128" s="2" t="s">
        <v>1</v>
      </c>
      <c r="D128" s="2">
        <v>1100</v>
      </c>
      <c r="E128" s="2" t="s">
        <v>11</v>
      </c>
      <c r="F128" s="2" t="s">
        <v>105</v>
      </c>
      <c r="G128" s="2">
        <v>20</v>
      </c>
    </row>
    <row r="129" spans="1:7" x14ac:dyDescent="0.3">
      <c r="A129" s="1">
        <v>46381</v>
      </c>
      <c r="B129" s="2" t="s">
        <v>109</v>
      </c>
      <c r="C129" s="2" t="s">
        <v>5</v>
      </c>
      <c r="D129" s="2">
        <v>4500</v>
      </c>
      <c r="E129" s="2" t="s">
        <v>9</v>
      </c>
      <c r="F129" s="2" t="s">
        <v>105</v>
      </c>
      <c r="G129" s="2">
        <v>25</v>
      </c>
    </row>
    <row r="130" spans="1:7" x14ac:dyDescent="0.3">
      <c r="A130" s="1">
        <v>46387</v>
      </c>
      <c r="B130" s="2" t="s">
        <v>110</v>
      </c>
      <c r="C130" s="2" t="s">
        <v>6</v>
      </c>
      <c r="D130" s="2">
        <v>2200</v>
      </c>
      <c r="E130" s="2" t="s">
        <v>12</v>
      </c>
      <c r="F130" s="2" t="s">
        <v>105</v>
      </c>
      <c r="G130" s="2">
        <v>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0FEAF-1C93-440E-806C-218174EC6D03}">
  <dimension ref="C3:G53"/>
  <sheetViews>
    <sheetView topLeftCell="B11" zoomScale="55" zoomScaleNormal="55" workbookViewId="0">
      <selection activeCell="V47" sqref="V47"/>
    </sheetView>
  </sheetViews>
  <sheetFormatPr defaultRowHeight="14.4" x14ac:dyDescent="0.3"/>
  <cols>
    <col min="1" max="1" width="12.6640625" bestFit="1" customWidth="1"/>
    <col min="2" max="2" width="14.44140625" bestFit="1" customWidth="1"/>
    <col min="3" max="3" width="18.44140625" bestFit="1" customWidth="1"/>
    <col min="4" max="4" width="18.6640625" bestFit="1" customWidth="1"/>
    <col min="6" max="6" width="18.44140625" bestFit="1" customWidth="1"/>
    <col min="7" max="7" width="18.6640625" bestFit="1" customWidth="1"/>
  </cols>
  <sheetData>
    <row r="3" spans="3:7" x14ac:dyDescent="0.3">
      <c r="F3" t="s">
        <v>112</v>
      </c>
    </row>
    <row r="4" spans="3:7" x14ac:dyDescent="0.3">
      <c r="F4" s="6">
        <v>245315</v>
      </c>
    </row>
    <row r="7" spans="3:7" x14ac:dyDescent="0.3">
      <c r="F7" t="s">
        <v>113</v>
      </c>
    </row>
    <row r="8" spans="3:7" x14ac:dyDescent="0.3">
      <c r="C8" s="3" t="s">
        <v>114</v>
      </c>
      <c r="D8" t="s">
        <v>111</v>
      </c>
      <c r="F8" s="9">
        <v>1901.6666666666667</v>
      </c>
    </row>
    <row r="9" spans="3:7" x14ac:dyDescent="0.3">
      <c r="C9" s="4" t="s">
        <v>4</v>
      </c>
      <c r="D9" s="6">
        <v>13385</v>
      </c>
    </row>
    <row r="10" spans="3:7" x14ac:dyDescent="0.3">
      <c r="C10" s="4" t="s">
        <v>1</v>
      </c>
      <c r="D10" s="6">
        <v>15520</v>
      </c>
    </row>
    <row r="11" spans="3:7" x14ac:dyDescent="0.3">
      <c r="C11" s="4" t="s">
        <v>6</v>
      </c>
      <c r="D11" s="6">
        <v>13030</v>
      </c>
      <c r="F11" s="5" t="s">
        <v>116</v>
      </c>
    </row>
    <row r="12" spans="3:7" x14ac:dyDescent="0.3">
      <c r="C12" s="4" t="s">
        <v>7</v>
      </c>
      <c r="D12" s="6">
        <v>131250</v>
      </c>
      <c r="F12" t="str">
        <f>INDEX(C9:C15,MATCH(MAX(D9:D15),D9:D15,0))</f>
        <v>Housing</v>
      </c>
    </row>
    <row r="13" spans="3:7" x14ac:dyDescent="0.3">
      <c r="C13" s="4" t="s">
        <v>5</v>
      </c>
      <c r="D13" s="6">
        <v>30350</v>
      </c>
    </row>
    <row r="14" spans="3:7" x14ac:dyDescent="0.3">
      <c r="C14" s="4" t="s">
        <v>2</v>
      </c>
      <c r="D14" s="6">
        <v>26970</v>
      </c>
    </row>
    <row r="15" spans="3:7" x14ac:dyDescent="0.3">
      <c r="C15" s="4" t="s">
        <v>3</v>
      </c>
      <c r="D15" s="6">
        <v>14810</v>
      </c>
    </row>
    <row r="16" spans="3:7" x14ac:dyDescent="0.3">
      <c r="C16" s="4" t="s">
        <v>115</v>
      </c>
      <c r="D16" s="6">
        <v>245315</v>
      </c>
      <c r="F16" s="3" t="s">
        <v>114</v>
      </c>
      <c r="G16" t="s">
        <v>111</v>
      </c>
    </row>
    <row r="17" spans="6:7" x14ac:dyDescent="0.3">
      <c r="F17" s="4" t="s">
        <v>4</v>
      </c>
      <c r="G17" s="6">
        <v>13385</v>
      </c>
    </row>
    <row r="18" spans="6:7" x14ac:dyDescent="0.3">
      <c r="F18" s="4" t="s">
        <v>1</v>
      </c>
      <c r="G18" s="6">
        <v>15520</v>
      </c>
    </row>
    <row r="19" spans="6:7" x14ac:dyDescent="0.3">
      <c r="F19" s="4" t="s">
        <v>6</v>
      </c>
      <c r="G19" s="6">
        <v>13030</v>
      </c>
    </row>
    <row r="20" spans="6:7" x14ac:dyDescent="0.3">
      <c r="F20" s="4" t="s">
        <v>7</v>
      </c>
      <c r="G20" s="6">
        <v>131250</v>
      </c>
    </row>
    <row r="21" spans="6:7" x14ac:dyDescent="0.3">
      <c r="F21" s="4" t="s">
        <v>5</v>
      </c>
      <c r="G21" s="6">
        <v>30350</v>
      </c>
    </row>
    <row r="22" spans="6:7" x14ac:dyDescent="0.3">
      <c r="F22" s="4" t="s">
        <v>2</v>
      </c>
      <c r="G22" s="6">
        <v>26970</v>
      </c>
    </row>
    <row r="23" spans="6:7" x14ac:dyDescent="0.3">
      <c r="F23" s="4" t="s">
        <v>3</v>
      </c>
      <c r="G23" s="6">
        <v>14810</v>
      </c>
    </row>
    <row r="24" spans="6:7" x14ac:dyDescent="0.3">
      <c r="F24" s="4" t="s">
        <v>115</v>
      </c>
      <c r="G24" s="6">
        <v>245315</v>
      </c>
    </row>
    <row r="29" spans="6:7" x14ac:dyDescent="0.3">
      <c r="F29" s="3" t="s">
        <v>114</v>
      </c>
      <c r="G29" t="s">
        <v>111</v>
      </c>
    </row>
    <row r="30" spans="6:7" x14ac:dyDescent="0.3">
      <c r="F30" s="4" t="s">
        <v>11</v>
      </c>
      <c r="G30" s="6">
        <v>53512</v>
      </c>
    </row>
    <row r="31" spans="6:7" x14ac:dyDescent="0.3">
      <c r="F31" s="4" t="s">
        <v>10</v>
      </c>
      <c r="G31" s="6">
        <v>14920</v>
      </c>
    </row>
    <row r="32" spans="6:7" x14ac:dyDescent="0.3">
      <c r="F32" s="4" t="s">
        <v>12</v>
      </c>
      <c r="G32" s="6">
        <v>78265</v>
      </c>
    </row>
    <row r="33" spans="6:7" x14ac:dyDescent="0.3">
      <c r="F33" s="4" t="s">
        <v>9</v>
      </c>
      <c r="G33" s="6">
        <v>98618</v>
      </c>
    </row>
    <row r="34" spans="6:7" x14ac:dyDescent="0.3">
      <c r="F34" s="4" t="s">
        <v>115</v>
      </c>
      <c r="G34" s="6">
        <v>245315</v>
      </c>
    </row>
    <row r="40" spans="6:7" x14ac:dyDescent="0.3">
      <c r="F40" s="3" t="s">
        <v>114</v>
      </c>
      <c r="G40" t="s">
        <v>111</v>
      </c>
    </row>
    <row r="41" spans="6:7" x14ac:dyDescent="0.3">
      <c r="F41" s="4" t="s">
        <v>21</v>
      </c>
      <c r="G41" s="6">
        <v>14366</v>
      </c>
    </row>
    <row r="42" spans="6:7" x14ac:dyDescent="0.3">
      <c r="F42" s="4" t="s">
        <v>46</v>
      </c>
      <c r="G42" s="6">
        <v>5108</v>
      </c>
    </row>
    <row r="43" spans="6:7" x14ac:dyDescent="0.3">
      <c r="F43" s="4" t="s">
        <v>51</v>
      </c>
      <c r="G43" s="6">
        <v>6528</v>
      </c>
    </row>
    <row r="44" spans="6:7" x14ac:dyDescent="0.3">
      <c r="F44" s="4" t="s">
        <v>56</v>
      </c>
      <c r="G44" s="6">
        <v>33699</v>
      </c>
    </row>
    <row r="45" spans="6:7" x14ac:dyDescent="0.3">
      <c r="F45" s="4" t="s">
        <v>65</v>
      </c>
      <c r="G45" s="6">
        <v>10498</v>
      </c>
    </row>
    <row r="46" spans="6:7" x14ac:dyDescent="0.3">
      <c r="F46" s="4" t="s">
        <v>72</v>
      </c>
      <c r="G46" s="6">
        <v>31269</v>
      </c>
    </row>
    <row r="47" spans="6:7" x14ac:dyDescent="0.3">
      <c r="F47" s="4" t="s">
        <v>78</v>
      </c>
      <c r="G47" s="6">
        <v>8844</v>
      </c>
    </row>
    <row r="48" spans="6:7" x14ac:dyDescent="0.3">
      <c r="F48" s="4" t="s">
        <v>84</v>
      </c>
      <c r="G48" s="6">
        <v>32880</v>
      </c>
    </row>
    <row r="49" spans="6:7" x14ac:dyDescent="0.3">
      <c r="F49" s="4" t="s">
        <v>91</v>
      </c>
      <c r="G49" s="6">
        <v>9680</v>
      </c>
    </row>
    <row r="50" spans="6:7" x14ac:dyDescent="0.3">
      <c r="F50" s="4" t="s">
        <v>97</v>
      </c>
      <c r="G50" s="6">
        <v>29939</v>
      </c>
    </row>
    <row r="51" spans="6:7" x14ac:dyDescent="0.3">
      <c r="F51" s="4" t="s">
        <v>101</v>
      </c>
      <c r="G51" s="6">
        <v>23244</v>
      </c>
    </row>
    <row r="52" spans="6:7" x14ac:dyDescent="0.3">
      <c r="F52" s="4" t="s">
        <v>105</v>
      </c>
      <c r="G52" s="6">
        <v>39260</v>
      </c>
    </row>
    <row r="53" spans="6:7" x14ac:dyDescent="0.3">
      <c r="F53" s="4" t="s">
        <v>115</v>
      </c>
      <c r="G53" s="6">
        <v>245315</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B6CAA-12F5-4D0C-BB98-CC8BE32574F8}">
  <dimension ref="A1:Y37"/>
  <sheetViews>
    <sheetView tabSelected="1" workbookViewId="0">
      <selection activeCell="Z6" sqref="Z6"/>
    </sheetView>
  </sheetViews>
  <sheetFormatPr defaultRowHeight="14.4" x14ac:dyDescent="0.3"/>
  <cols>
    <col min="1" max="1" width="2" customWidth="1"/>
    <col min="19" max="20" width="1.6640625" customWidth="1"/>
    <col min="25" max="25" width="1.77734375" customWidth="1"/>
  </cols>
  <sheetData>
    <row r="1" spans="1:25" x14ac:dyDescent="0.3">
      <c r="A1" s="10" t="s">
        <v>117</v>
      </c>
      <c r="B1" s="11"/>
      <c r="C1" s="11"/>
      <c r="D1" s="11"/>
      <c r="E1" s="11"/>
      <c r="F1" s="11"/>
      <c r="G1" s="11"/>
      <c r="H1" s="11"/>
      <c r="I1" s="11"/>
      <c r="J1" s="11"/>
      <c r="K1" s="11"/>
      <c r="L1" s="11"/>
      <c r="M1" s="11"/>
      <c r="N1" s="11"/>
      <c r="O1" s="11"/>
      <c r="P1" s="11"/>
      <c r="Q1" s="11"/>
      <c r="R1" s="11"/>
      <c r="S1" s="7"/>
      <c r="T1" s="7"/>
      <c r="U1" s="10" t="s">
        <v>118</v>
      </c>
      <c r="V1" s="10"/>
      <c r="W1" s="10"/>
      <c r="X1" s="10"/>
      <c r="Y1" s="7"/>
    </row>
    <row r="2" spans="1:25" x14ac:dyDescent="0.3">
      <c r="A2" s="11"/>
      <c r="B2" s="11"/>
      <c r="C2" s="11"/>
      <c r="D2" s="11"/>
      <c r="E2" s="11"/>
      <c r="F2" s="11"/>
      <c r="G2" s="11"/>
      <c r="H2" s="11"/>
      <c r="I2" s="11"/>
      <c r="J2" s="11"/>
      <c r="K2" s="11"/>
      <c r="L2" s="11"/>
      <c r="M2" s="11"/>
      <c r="N2" s="11"/>
      <c r="O2" s="11"/>
      <c r="P2" s="11"/>
      <c r="Q2" s="11"/>
      <c r="R2" s="11"/>
      <c r="S2" s="8"/>
      <c r="T2" s="7"/>
      <c r="U2" s="10"/>
      <c r="V2" s="10"/>
      <c r="W2" s="10"/>
      <c r="X2" s="10"/>
      <c r="Y2" s="7"/>
    </row>
    <row r="3" spans="1:25" x14ac:dyDescent="0.3">
      <c r="A3" s="11"/>
      <c r="B3" s="11"/>
      <c r="C3" s="11"/>
      <c r="D3" s="11"/>
      <c r="E3" s="11"/>
      <c r="F3" s="11"/>
      <c r="G3" s="11"/>
      <c r="H3" s="11"/>
      <c r="I3" s="11"/>
      <c r="J3" s="11"/>
      <c r="K3" s="11"/>
      <c r="L3" s="11"/>
      <c r="M3" s="11"/>
      <c r="N3" s="11"/>
      <c r="O3" s="11"/>
      <c r="P3" s="11"/>
      <c r="Q3" s="11"/>
      <c r="R3" s="11"/>
      <c r="S3" s="8"/>
      <c r="T3" s="7"/>
      <c r="U3" s="10"/>
      <c r="V3" s="10"/>
      <c r="W3" s="10"/>
      <c r="X3" s="10"/>
      <c r="Y3" s="7"/>
    </row>
    <row r="4" spans="1:25" ht="15" thickBot="1" x14ac:dyDescent="0.35">
      <c r="A4" s="12"/>
      <c r="B4" s="12"/>
      <c r="C4" s="12"/>
      <c r="D4" s="12"/>
      <c r="E4" s="12"/>
      <c r="F4" s="12"/>
      <c r="G4" s="12"/>
      <c r="H4" s="12"/>
      <c r="I4" s="12"/>
      <c r="J4" s="12"/>
      <c r="K4" s="12"/>
      <c r="L4" s="12"/>
      <c r="M4" s="12"/>
      <c r="N4" s="12"/>
      <c r="O4" s="12"/>
      <c r="P4" s="12"/>
      <c r="Q4" s="12"/>
      <c r="R4" s="12"/>
      <c r="S4" s="8"/>
      <c r="T4" s="7"/>
      <c r="U4" s="13"/>
      <c r="V4" s="13"/>
      <c r="W4" s="13"/>
      <c r="X4" s="13"/>
      <c r="Y4" s="7"/>
    </row>
    <row r="5" spans="1:25" ht="4.2" customHeight="1" x14ac:dyDescent="0.3">
      <c r="A5" s="7"/>
      <c r="B5" s="7"/>
      <c r="C5" s="7"/>
      <c r="D5" s="7"/>
      <c r="E5" s="7"/>
      <c r="F5" s="7"/>
      <c r="G5" s="7"/>
      <c r="H5" s="7"/>
      <c r="I5" s="7"/>
      <c r="J5" s="7"/>
      <c r="K5" s="7"/>
      <c r="L5" s="7"/>
      <c r="M5" s="7"/>
      <c r="N5" s="7"/>
      <c r="O5" s="7"/>
      <c r="P5" s="7"/>
      <c r="Q5" s="7"/>
      <c r="R5" s="7"/>
      <c r="S5" s="8"/>
      <c r="T5" s="7"/>
      <c r="U5" s="7"/>
      <c r="V5" s="7"/>
      <c r="W5" s="7"/>
      <c r="X5" s="7"/>
      <c r="Y5" s="7"/>
    </row>
    <row r="6" spans="1:25" x14ac:dyDescent="0.3">
      <c r="A6" s="7"/>
      <c r="B6" s="7"/>
      <c r="C6" s="7"/>
      <c r="D6" s="7"/>
      <c r="E6" s="7"/>
      <c r="F6" s="7"/>
      <c r="G6" s="7"/>
      <c r="H6" s="7"/>
      <c r="I6" s="7"/>
      <c r="J6" s="7"/>
      <c r="K6" s="7"/>
      <c r="L6" s="7"/>
      <c r="M6" s="7"/>
      <c r="N6" s="7"/>
      <c r="O6" s="7"/>
      <c r="P6" s="7"/>
      <c r="Q6" s="7"/>
      <c r="R6" s="7"/>
      <c r="S6" s="8"/>
      <c r="T6" s="7"/>
      <c r="U6" s="7"/>
      <c r="V6" s="7"/>
      <c r="W6" s="7"/>
      <c r="X6" s="7"/>
      <c r="Y6" s="7"/>
    </row>
    <row r="7" spans="1:25" x14ac:dyDescent="0.3">
      <c r="A7" s="7"/>
      <c r="B7" s="7"/>
      <c r="C7" s="7"/>
      <c r="D7" s="7"/>
      <c r="E7" s="7"/>
      <c r="F7" s="7"/>
      <c r="G7" s="7"/>
      <c r="H7" s="7"/>
      <c r="I7" s="7"/>
      <c r="J7" s="7"/>
      <c r="K7" s="7"/>
      <c r="L7" s="7"/>
      <c r="M7" s="7"/>
      <c r="N7" s="7"/>
      <c r="O7" s="7"/>
      <c r="P7" s="7"/>
      <c r="Q7" s="7"/>
      <c r="R7" s="7"/>
      <c r="S7" s="8"/>
      <c r="T7" s="7"/>
      <c r="U7" s="7"/>
      <c r="V7" s="7"/>
      <c r="W7" s="7"/>
      <c r="X7" s="7"/>
      <c r="Y7" s="7"/>
    </row>
    <row r="8" spans="1:25" x14ac:dyDescent="0.3">
      <c r="A8" s="7"/>
      <c r="B8" s="7"/>
      <c r="C8" s="7"/>
      <c r="D8" s="7"/>
      <c r="E8" s="7"/>
      <c r="F8" s="7"/>
      <c r="G8" s="7"/>
      <c r="H8" s="7"/>
      <c r="I8" s="7"/>
      <c r="J8" s="7"/>
      <c r="K8" s="7"/>
      <c r="L8" s="7"/>
      <c r="M8" s="7"/>
      <c r="N8" s="7"/>
      <c r="O8" s="7"/>
      <c r="P8" s="7"/>
      <c r="Q8" s="7"/>
      <c r="R8" s="7"/>
      <c r="S8" s="8"/>
      <c r="T8" s="7"/>
      <c r="U8" s="7"/>
      <c r="V8" s="7"/>
      <c r="W8" s="7"/>
      <c r="X8" s="7"/>
      <c r="Y8" s="7"/>
    </row>
    <row r="9" spans="1:25" x14ac:dyDescent="0.3">
      <c r="A9" s="7"/>
      <c r="B9" s="7"/>
      <c r="C9" s="7"/>
      <c r="D9" s="7"/>
      <c r="E9" s="7"/>
      <c r="F9" s="7"/>
      <c r="G9" s="7"/>
      <c r="H9" s="7"/>
      <c r="I9" s="7"/>
      <c r="J9" s="7"/>
      <c r="K9" s="7"/>
      <c r="L9" s="7"/>
      <c r="M9" s="7"/>
      <c r="N9" s="7"/>
      <c r="O9" s="7"/>
      <c r="P9" s="7"/>
      <c r="Q9" s="7"/>
      <c r="R9" s="7"/>
      <c r="S9" s="8"/>
      <c r="T9" s="7"/>
      <c r="U9" s="7"/>
      <c r="V9" s="7"/>
      <c r="W9" s="7"/>
      <c r="X9" s="7"/>
      <c r="Y9" s="7"/>
    </row>
    <row r="10" spans="1:25" x14ac:dyDescent="0.3">
      <c r="A10" s="7"/>
      <c r="B10" s="7"/>
      <c r="C10" s="7"/>
      <c r="D10" s="7"/>
      <c r="E10" s="7"/>
      <c r="F10" s="7"/>
      <c r="G10" s="7"/>
      <c r="H10" s="7"/>
      <c r="I10" s="7"/>
      <c r="J10" s="7"/>
      <c r="K10" s="7"/>
      <c r="L10" s="7"/>
      <c r="M10" s="7"/>
      <c r="N10" s="7"/>
      <c r="O10" s="7"/>
      <c r="P10" s="7"/>
      <c r="Q10" s="7"/>
      <c r="R10" s="7"/>
      <c r="S10" s="8"/>
      <c r="T10" s="7"/>
      <c r="U10" s="7"/>
      <c r="V10" s="7"/>
      <c r="W10" s="7"/>
      <c r="X10" s="7"/>
      <c r="Y10" s="7"/>
    </row>
    <row r="11" spans="1:25" x14ac:dyDescent="0.3">
      <c r="A11" s="7"/>
      <c r="B11" s="7"/>
      <c r="C11" s="7"/>
      <c r="D11" s="7"/>
      <c r="E11" s="7"/>
      <c r="F11" s="7"/>
      <c r="G11" s="7"/>
      <c r="H11" s="7"/>
      <c r="I11" s="7"/>
      <c r="J11" s="7"/>
      <c r="K11" s="7"/>
      <c r="L11" s="7"/>
      <c r="M11" s="7"/>
      <c r="N11" s="7"/>
      <c r="O11" s="7"/>
      <c r="P11" s="7"/>
      <c r="Q11" s="7"/>
      <c r="R11" s="7"/>
      <c r="S11" s="8"/>
      <c r="T11" s="7"/>
      <c r="U11" s="7"/>
      <c r="V11" s="7"/>
      <c r="W11" s="7"/>
      <c r="X11" s="7"/>
      <c r="Y11" s="7"/>
    </row>
    <row r="12" spans="1:25" x14ac:dyDescent="0.3">
      <c r="A12" s="7"/>
      <c r="B12" s="7"/>
      <c r="C12" s="7"/>
      <c r="D12" s="7"/>
      <c r="E12" s="7"/>
      <c r="F12" s="7"/>
      <c r="G12" s="7"/>
      <c r="H12" s="7"/>
      <c r="I12" s="7"/>
      <c r="J12" s="7"/>
      <c r="K12" s="7"/>
      <c r="L12" s="7"/>
      <c r="M12" s="7"/>
      <c r="N12" s="7"/>
      <c r="O12" s="7"/>
      <c r="P12" s="7"/>
      <c r="Q12" s="7"/>
      <c r="R12" s="7"/>
      <c r="S12" s="8"/>
      <c r="T12" s="7"/>
      <c r="U12" s="7"/>
      <c r="V12" s="7"/>
      <c r="W12" s="7"/>
      <c r="X12" s="7"/>
      <c r="Y12" s="7"/>
    </row>
    <row r="13" spans="1:25" x14ac:dyDescent="0.3">
      <c r="A13" s="7"/>
      <c r="B13" s="7"/>
      <c r="C13" s="7"/>
      <c r="D13" s="7"/>
      <c r="E13" s="7"/>
      <c r="F13" s="7"/>
      <c r="G13" s="7"/>
      <c r="H13" s="7"/>
      <c r="I13" s="7"/>
      <c r="J13" s="7"/>
      <c r="K13" s="7"/>
      <c r="L13" s="7"/>
      <c r="M13" s="7"/>
      <c r="N13" s="7"/>
      <c r="O13" s="7"/>
      <c r="P13" s="7"/>
      <c r="Q13" s="7"/>
      <c r="R13" s="7"/>
      <c r="S13" s="8"/>
      <c r="T13" s="7"/>
      <c r="U13" s="7"/>
      <c r="V13" s="7"/>
      <c r="W13" s="7"/>
      <c r="X13" s="7"/>
      <c r="Y13" s="7"/>
    </row>
    <row r="14" spans="1:25" x14ac:dyDescent="0.3">
      <c r="A14" s="7"/>
      <c r="B14" s="7"/>
      <c r="C14" s="7"/>
      <c r="D14" s="7"/>
      <c r="E14" s="7"/>
      <c r="F14" s="7"/>
      <c r="G14" s="7"/>
      <c r="H14" s="7"/>
      <c r="I14" s="7"/>
      <c r="J14" s="7"/>
      <c r="K14" s="7"/>
      <c r="L14" s="7"/>
      <c r="M14" s="7"/>
      <c r="N14" s="7"/>
      <c r="O14" s="7"/>
      <c r="P14" s="7"/>
      <c r="Q14" s="7"/>
      <c r="R14" s="7"/>
      <c r="S14" s="8"/>
      <c r="T14" s="7"/>
      <c r="U14" s="7"/>
      <c r="V14" s="7"/>
      <c r="W14" s="7"/>
      <c r="X14" s="7"/>
      <c r="Y14" s="7"/>
    </row>
    <row r="15" spans="1:25" x14ac:dyDescent="0.3">
      <c r="A15" s="7"/>
      <c r="B15" s="7"/>
      <c r="C15" s="7"/>
      <c r="D15" s="7"/>
      <c r="E15" s="7"/>
      <c r="F15" s="7"/>
      <c r="G15" s="7"/>
      <c r="H15" s="7"/>
      <c r="I15" s="7"/>
      <c r="J15" s="7"/>
      <c r="K15" s="7"/>
      <c r="L15" s="7"/>
      <c r="M15" s="7"/>
      <c r="N15" s="7"/>
      <c r="O15" s="7"/>
      <c r="P15" s="7"/>
      <c r="Q15" s="7"/>
      <c r="R15" s="7"/>
      <c r="S15" s="8"/>
      <c r="T15" s="7"/>
      <c r="U15" s="7"/>
      <c r="V15" s="7"/>
      <c r="W15" s="7"/>
      <c r="X15" s="7"/>
      <c r="Y15" s="7"/>
    </row>
    <row r="16" spans="1:25" x14ac:dyDescent="0.3">
      <c r="A16" s="7"/>
      <c r="B16" s="7"/>
      <c r="C16" s="7"/>
      <c r="D16" s="7"/>
      <c r="E16" s="7"/>
      <c r="F16" s="7"/>
      <c r="G16" s="7"/>
      <c r="H16" s="7"/>
      <c r="I16" s="7"/>
      <c r="J16" s="7"/>
      <c r="K16" s="7"/>
      <c r="L16" s="7"/>
      <c r="M16" s="7"/>
      <c r="N16" s="7"/>
      <c r="O16" s="7"/>
      <c r="P16" s="7"/>
      <c r="Q16" s="7"/>
      <c r="R16" s="7"/>
      <c r="S16" s="8"/>
      <c r="T16" s="7"/>
      <c r="U16" s="7"/>
      <c r="V16" s="7"/>
      <c r="W16" s="7"/>
      <c r="X16" s="7"/>
      <c r="Y16" s="7"/>
    </row>
    <row r="17" spans="1:25" x14ac:dyDescent="0.3">
      <c r="A17" s="7"/>
      <c r="B17" s="7"/>
      <c r="C17" s="7"/>
      <c r="D17" s="7"/>
      <c r="E17" s="7"/>
      <c r="F17" s="7"/>
      <c r="G17" s="7"/>
      <c r="H17" s="7"/>
      <c r="I17" s="7"/>
      <c r="J17" s="7"/>
      <c r="K17" s="7"/>
      <c r="L17" s="7"/>
      <c r="M17" s="7"/>
      <c r="N17" s="7"/>
      <c r="O17" s="7"/>
      <c r="P17" s="7"/>
      <c r="Q17" s="7"/>
      <c r="R17" s="7"/>
      <c r="S17" s="8"/>
      <c r="T17" s="7"/>
      <c r="U17" s="7"/>
      <c r="V17" s="7"/>
      <c r="W17" s="7"/>
      <c r="X17" s="7"/>
      <c r="Y17" s="7"/>
    </row>
    <row r="18" spans="1:25" x14ac:dyDescent="0.3">
      <c r="A18" s="7"/>
      <c r="B18" s="7"/>
      <c r="C18" s="7"/>
      <c r="D18" s="7"/>
      <c r="E18" s="7"/>
      <c r="F18" s="7"/>
      <c r="G18" s="7"/>
      <c r="H18" s="7"/>
      <c r="I18" s="7"/>
      <c r="J18" s="7"/>
      <c r="K18" s="7"/>
      <c r="L18" s="7"/>
      <c r="M18" s="7"/>
      <c r="N18" s="7"/>
      <c r="O18" s="7"/>
      <c r="P18" s="7"/>
      <c r="Q18" s="7"/>
      <c r="R18" s="7"/>
      <c r="S18" s="8"/>
      <c r="T18" s="7"/>
      <c r="U18" s="7"/>
      <c r="V18" s="7"/>
      <c r="W18" s="7"/>
      <c r="X18" s="7"/>
      <c r="Y18" s="7"/>
    </row>
    <row r="19" spans="1:25" x14ac:dyDescent="0.3">
      <c r="A19" s="7"/>
      <c r="B19" s="7"/>
      <c r="C19" s="7"/>
      <c r="D19" s="7"/>
      <c r="E19" s="7"/>
      <c r="F19" s="7"/>
      <c r="G19" s="7"/>
      <c r="H19" s="7"/>
      <c r="I19" s="7"/>
      <c r="J19" s="7"/>
      <c r="K19" s="7"/>
      <c r="L19" s="7"/>
      <c r="M19" s="7"/>
      <c r="N19" s="7"/>
      <c r="O19" s="7"/>
      <c r="P19" s="7"/>
      <c r="Q19" s="7"/>
      <c r="R19" s="7"/>
      <c r="S19" s="8"/>
      <c r="T19" s="7"/>
      <c r="U19" s="7"/>
      <c r="V19" s="7"/>
      <c r="W19" s="7"/>
      <c r="X19" s="7"/>
      <c r="Y19" s="7"/>
    </row>
    <row r="20" spans="1:25" x14ac:dyDescent="0.3">
      <c r="A20" s="7"/>
      <c r="B20" s="7"/>
      <c r="C20" s="7"/>
      <c r="D20" s="7"/>
      <c r="E20" s="7"/>
      <c r="F20" s="7"/>
      <c r="G20" s="7"/>
      <c r="H20" s="7"/>
      <c r="I20" s="7"/>
      <c r="J20" s="7"/>
      <c r="K20" s="7"/>
      <c r="L20" s="7"/>
      <c r="M20" s="7"/>
      <c r="N20" s="7"/>
      <c r="O20" s="7"/>
      <c r="P20" s="7"/>
      <c r="Q20" s="7"/>
      <c r="R20" s="7"/>
      <c r="S20" s="8"/>
      <c r="T20" s="7"/>
      <c r="U20" s="7"/>
      <c r="V20" s="7"/>
      <c r="W20" s="7"/>
      <c r="X20" s="7"/>
      <c r="Y20" s="7"/>
    </row>
    <row r="21" spans="1:25" x14ac:dyDescent="0.3">
      <c r="A21" s="7"/>
      <c r="B21" s="7"/>
      <c r="C21" s="7"/>
      <c r="D21" s="7"/>
      <c r="E21" s="7"/>
      <c r="F21" s="7"/>
      <c r="G21" s="7"/>
      <c r="H21" s="7"/>
      <c r="I21" s="7"/>
      <c r="J21" s="7"/>
      <c r="K21" s="7"/>
      <c r="L21" s="7"/>
      <c r="M21" s="7"/>
      <c r="N21" s="7"/>
      <c r="O21" s="7"/>
      <c r="P21" s="7"/>
      <c r="Q21" s="7"/>
      <c r="R21" s="7"/>
      <c r="S21" s="8"/>
      <c r="T21" s="7"/>
      <c r="U21" s="7"/>
      <c r="V21" s="7"/>
      <c r="W21" s="7"/>
      <c r="X21" s="7"/>
      <c r="Y21" s="7"/>
    </row>
    <row r="22" spans="1:25" x14ac:dyDescent="0.3">
      <c r="A22" s="7"/>
      <c r="B22" s="7"/>
      <c r="C22" s="7"/>
      <c r="D22" s="7"/>
      <c r="E22" s="7"/>
      <c r="F22" s="7"/>
      <c r="G22" s="7"/>
      <c r="H22" s="7"/>
      <c r="I22" s="7"/>
      <c r="J22" s="7"/>
      <c r="K22" s="7"/>
      <c r="L22" s="7"/>
      <c r="M22" s="7"/>
      <c r="N22" s="7"/>
      <c r="O22" s="7"/>
      <c r="P22" s="7"/>
      <c r="Q22" s="7"/>
      <c r="R22" s="7"/>
      <c r="S22" s="8"/>
      <c r="T22" s="7"/>
      <c r="U22" s="7"/>
      <c r="V22" s="7"/>
      <c r="W22" s="7"/>
      <c r="X22" s="7"/>
      <c r="Y22" s="7"/>
    </row>
    <row r="23" spans="1:25" x14ac:dyDescent="0.3">
      <c r="A23" s="7"/>
      <c r="B23" s="7"/>
      <c r="C23" s="7"/>
      <c r="D23" s="7"/>
      <c r="E23" s="7"/>
      <c r="F23" s="7"/>
      <c r="G23" s="7"/>
      <c r="H23" s="7"/>
      <c r="I23" s="7"/>
      <c r="J23" s="7"/>
      <c r="K23" s="7"/>
      <c r="L23" s="7"/>
      <c r="M23" s="7"/>
      <c r="N23" s="7"/>
      <c r="O23" s="7"/>
      <c r="P23" s="7"/>
      <c r="Q23" s="7"/>
      <c r="R23" s="7"/>
      <c r="S23" s="8"/>
      <c r="T23" s="7"/>
      <c r="U23" s="7"/>
      <c r="V23" s="7"/>
      <c r="W23" s="7"/>
      <c r="X23" s="7"/>
      <c r="Y23" s="7"/>
    </row>
    <row r="24" spans="1:25" x14ac:dyDescent="0.3">
      <c r="A24" s="7"/>
      <c r="B24" s="7"/>
      <c r="C24" s="7"/>
      <c r="D24" s="7"/>
      <c r="E24" s="7"/>
      <c r="F24" s="7"/>
      <c r="G24" s="7"/>
      <c r="H24" s="7"/>
      <c r="I24" s="7"/>
      <c r="J24" s="7"/>
      <c r="K24" s="7"/>
      <c r="L24" s="7"/>
      <c r="M24" s="7"/>
      <c r="N24" s="7"/>
      <c r="O24" s="7"/>
      <c r="P24" s="7"/>
      <c r="Q24" s="7"/>
      <c r="R24" s="7"/>
      <c r="S24" s="8"/>
      <c r="T24" s="7"/>
      <c r="U24" s="7"/>
      <c r="V24" s="7"/>
      <c r="W24" s="7"/>
      <c r="X24" s="7"/>
      <c r="Y24" s="7"/>
    </row>
    <row r="25" spans="1:25" x14ac:dyDescent="0.3">
      <c r="A25" s="7"/>
      <c r="B25" s="7"/>
      <c r="C25" s="7"/>
      <c r="D25" s="7"/>
      <c r="E25" s="7"/>
      <c r="F25" s="7"/>
      <c r="G25" s="7"/>
      <c r="H25" s="7"/>
      <c r="I25" s="7"/>
      <c r="J25" s="7"/>
      <c r="K25" s="7"/>
      <c r="L25" s="7"/>
      <c r="M25" s="7"/>
      <c r="N25" s="7"/>
      <c r="O25" s="7"/>
      <c r="P25" s="7"/>
      <c r="Q25" s="7"/>
      <c r="R25" s="7"/>
      <c r="S25" s="8"/>
      <c r="T25" s="7"/>
      <c r="U25" s="7"/>
      <c r="V25" s="7"/>
      <c r="W25" s="7"/>
      <c r="X25" s="7"/>
      <c r="Y25" s="7"/>
    </row>
    <row r="26" spans="1:25" x14ac:dyDescent="0.3">
      <c r="A26" s="7"/>
      <c r="B26" s="7"/>
      <c r="C26" s="7"/>
      <c r="D26" s="7"/>
      <c r="E26" s="7"/>
      <c r="F26" s="7"/>
      <c r="G26" s="7"/>
      <c r="H26" s="7"/>
      <c r="I26" s="7"/>
      <c r="J26" s="7"/>
      <c r="K26" s="7"/>
      <c r="L26" s="7"/>
      <c r="M26" s="7"/>
      <c r="N26" s="7"/>
      <c r="O26" s="7"/>
      <c r="P26" s="7"/>
      <c r="Q26" s="7"/>
      <c r="R26" s="7"/>
      <c r="S26" s="8"/>
      <c r="T26" s="7"/>
      <c r="U26" s="7"/>
      <c r="V26" s="7"/>
      <c r="W26" s="7"/>
      <c r="X26" s="7"/>
      <c r="Y26" s="7"/>
    </row>
    <row r="27" spans="1:25" x14ac:dyDescent="0.3">
      <c r="A27" s="7"/>
      <c r="B27" s="7"/>
      <c r="C27" s="7"/>
      <c r="D27" s="7"/>
      <c r="E27" s="7"/>
      <c r="F27" s="7"/>
      <c r="G27" s="7"/>
      <c r="H27" s="7"/>
      <c r="I27" s="7"/>
      <c r="J27" s="7"/>
      <c r="K27" s="7"/>
      <c r="L27" s="7"/>
      <c r="M27" s="7"/>
      <c r="N27" s="7"/>
      <c r="O27" s="7"/>
      <c r="P27" s="7"/>
      <c r="Q27" s="7"/>
      <c r="R27" s="7"/>
      <c r="S27" s="8"/>
      <c r="T27" s="7"/>
      <c r="U27" s="7"/>
      <c r="V27" s="7"/>
      <c r="W27" s="7"/>
      <c r="X27" s="7"/>
      <c r="Y27" s="7"/>
    </row>
    <row r="28" spans="1:25" x14ac:dyDescent="0.3">
      <c r="A28" s="7"/>
      <c r="B28" s="7"/>
      <c r="C28" s="7"/>
      <c r="D28" s="7"/>
      <c r="E28" s="7"/>
      <c r="F28" s="7"/>
      <c r="G28" s="7"/>
      <c r="H28" s="7"/>
      <c r="I28" s="7"/>
      <c r="J28" s="7"/>
      <c r="K28" s="7"/>
      <c r="L28" s="7"/>
      <c r="M28" s="7"/>
      <c r="N28" s="7"/>
      <c r="O28" s="7"/>
      <c r="P28" s="7"/>
      <c r="Q28" s="7"/>
      <c r="R28" s="7"/>
      <c r="S28" s="8"/>
      <c r="T28" s="7"/>
      <c r="U28" s="7"/>
      <c r="V28" s="7"/>
      <c r="W28" s="7"/>
      <c r="X28" s="7"/>
      <c r="Y28" s="7"/>
    </row>
    <row r="29" spans="1:25" x14ac:dyDescent="0.3">
      <c r="A29" s="7"/>
      <c r="B29" s="7"/>
      <c r="C29" s="7"/>
      <c r="D29" s="7"/>
      <c r="E29" s="7"/>
      <c r="F29" s="7"/>
      <c r="G29" s="7"/>
      <c r="H29" s="7"/>
      <c r="I29" s="7"/>
      <c r="J29" s="7"/>
      <c r="K29" s="7"/>
      <c r="L29" s="7"/>
      <c r="M29" s="7"/>
      <c r="N29" s="7"/>
      <c r="O29" s="7"/>
      <c r="P29" s="7"/>
      <c r="Q29" s="7"/>
      <c r="R29" s="7"/>
      <c r="S29" s="8"/>
      <c r="T29" s="7"/>
      <c r="U29" s="7"/>
      <c r="V29" s="7"/>
      <c r="W29" s="7"/>
      <c r="X29" s="7"/>
      <c r="Y29" s="7"/>
    </row>
    <row r="30" spans="1:25" x14ac:dyDescent="0.3">
      <c r="A30" s="7"/>
      <c r="B30" s="7"/>
      <c r="C30" s="7"/>
      <c r="D30" s="7"/>
      <c r="E30" s="7"/>
      <c r="F30" s="7"/>
      <c r="G30" s="7"/>
      <c r="H30" s="7"/>
      <c r="I30" s="7"/>
      <c r="J30" s="7"/>
      <c r="K30" s="7"/>
      <c r="L30" s="7"/>
      <c r="M30" s="7"/>
      <c r="N30" s="7"/>
      <c r="O30" s="7"/>
      <c r="P30" s="7"/>
      <c r="Q30" s="7"/>
      <c r="R30" s="7"/>
      <c r="S30" s="8"/>
      <c r="T30" s="7"/>
      <c r="U30" s="7"/>
      <c r="V30" s="7"/>
      <c r="W30" s="7"/>
      <c r="X30" s="7"/>
      <c r="Y30" s="7"/>
    </row>
    <row r="31" spans="1:25" x14ac:dyDescent="0.3">
      <c r="A31" s="7"/>
      <c r="B31" s="7"/>
      <c r="C31" s="7"/>
      <c r="D31" s="7"/>
      <c r="E31" s="7"/>
      <c r="F31" s="7"/>
      <c r="G31" s="7"/>
      <c r="H31" s="7"/>
      <c r="I31" s="7"/>
      <c r="J31" s="7"/>
      <c r="K31" s="7"/>
      <c r="L31" s="7"/>
      <c r="M31" s="7"/>
      <c r="N31" s="7"/>
      <c r="O31" s="7"/>
      <c r="P31" s="7"/>
      <c r="Q31" s="7"/>
      <c r="R31" s="7"/>
      <c r="S31" s="8"/>
      <c r="T31" s="7"/>
      <c r="U31" s="7"/>
      <c r="V31" s="7"/>
      <c r="W31" s="7"/>
      <c r="X31" s="7"/>
      <c r="Y31" s="7"/>
    </row>
    <row r="32" spans="1:25" x14ac:dyDescent="0.3">
      <c r="A32" s="7"/>
      <c r="B32" s="7"/>
      <c r="C32" s="7"/>
      <c r="D32" s="7"/>
      <c r="E32" s="7"/>
      <c r="F32" s="7"/>
      <c r="G32" s="7"/>
      <c r="H32" s="7"/>
      <c r="I32" s="7"/>
      <c r="J32" s="7"/>
      <c r="K32" s="7"/>
      <c r="L32" s="7"/>
      <c r="M32" s="7"/>
      <c r="N32" s="7"/>
      <c r="O32" s="7"/>
      <c r="P32" s="7"/>
      <c r="Q32" s="7"/>
      <c r="R32" s="7"/>
      <c r="S32" s="8"/>
      <c r="T32" s="7"/>
      <c r="U32" s="7"/>
      <c r="V32" s="7"/>
      <c r="W32" s="7"/>
      <c r="X32" s="7"/>
      <c r="Y32" s="7"/>
    </row>
    <row r="33" spans="1:25" x14ac:dyDescent="0.3">
      <c r="A33" s="7"/>
      <c r="B33" s="7"/>
      <c r="C33" s="7"/>
      <c r="D33" s="7"/>
      <c r="E33" s="7"/>
      <c r="F33" s="7"/>
      <c r="G33" s="7"/>
      <c r="H33" s="7"/>
      <c r="I33" s="7"/>
      <c r="J33" s="7"/>
      <c r="K33" s="7"/>
      <c r="L33" s="7"/>
      <c r="M33" s="7"/>
      <c r="N33" s="7"/>
      <c r="O33" s="7"/>
      <c r="P33" s="7"/>
      <c r="Q33" s="7"/>
      <c r="R33" s="7"/>
      <c r="S33" s="8"/>
      <c r="T33" s="7"/>
      <c r="U33" s="7"/>
      <c r="V33" s="7"/>
      <c r="W33" s="7"/>
      <c r="X33" s="7"/>
      <c r="Y33" s="7"/>
    </row>
    <row r="34" spans="1:25" x14ac:dyDescent="0.3">
      <c r="A34" s="7"/>
      <c r="B34" s="7"/>
      <c r="C34" s="7"/>
      <c r="D34" s="7"/>
      <c r="E34" s="7"/>
      <c r="F34" s="7"/>
      <c r="G34" s="7"/>
      <c r="H34" s="7"/>
      <c r="I34" s="7"/>
      <c r="J34" s="7"/>
      <c r="K34" s="7"/>
      <c r="L34" s="7"/>
      <c r="M34" s="7"/>
      <c r="N34" s="7"/>
      <c r="O34" s="7"/>
      <c r="P34" s="7"/>
      <c r="Q34" s="7"/>
      <c r="R34" s="7"/>
      <c r="S34" s="8"/>
      <c r="T34" s="7"/>
      <c r="U34" s="7"/>
      <c r="V34" s="7"/>
      <c r="W34" s="7"/>
      <c r="X34" s="7"/>
      <c r="Y34" s="7"/>
    </row>
    <row r="35" spans="1:25" x14ac:dyDescent="0.3">
      <c r="A35" s="7"/>
      <c r="B35" s="7"/>
      <c r="C35" s="7"/>
      <c r="D35" s="7"/>
      <c r="E35" s="7"/>
      <c r="F35" s="7"/>
      <c r="G35" s="7"/>
      <c r="H35" s="7"/>
      <c r="I35" s="7"/>
      <c r="J35" s="7"/>
      <c r="K35" s="7"/>
      <c r="L35" s="7"/>
      <c r="M35" s="7"/>
      <c r="N35" s="7"/>
      <c r="O35" s="7"/>
      <c r="P35" s="7"/>
      <c r="Q35" s="7"/>
      <c r="R35" s="7"/>
      <c r="S35" s="8"/>
      <c r="T35" s="7"/>
      <c r="U35" s="7"/>
      <c r="V35" s="7"/>
      <c r="W35" s="7"/>
      <c r="X35" s="7"/>
      <c r="Y35" s="7"/>
    </row>
    <row r="36" spans="1:25" x14ac:dyDescent="0.3">
      <c r="A36" s="7"/>
      <c r="B36" s="7"/>
      <c r="C36" s="7"/>
      <c r="D36" s="7"/>
      <c r="E36" s="7"/>
      <c r="F36" s="7"/>
      <c r="G36" s="7"/>
      <c r="H36" s="7"/>
      <c r="I36" s="7"/>
      <c r="J36" s="7"/>
      <c r="K36" s="7"/>
      <c r="L36" s="7"/>
      <c r="M36" s="7"/>
      <c r="N36" s="7"/>
      <c r="O36" s="7"/>
      <c r="P36" s="7"/>
      <c r="Q36" s="7"/>
      <c r="R36" s="7"/>
      <c r="S36" s="8"/>
      <c r="T36" s="7"/>
      <c r="U36" s="7"/>
      <c r="V36" s="7"/>
      <c r="W36" s="7"/>
      <c r="X36" s="7"/>
      <c r="Y36" s="7"/>
    </row>
    <row r="37" spans="1:25" x14ac:dyDescent="0.3">
      <c r="A37" s="7"/>
      <c r="B37" s="7"/>
      <c r="C37" s="7"/>
      <c r="D37" s="7"/>
      <c r="E37" s="7"/>
      <c r="F37" s="7"/>
      <c r="G37" s="7"/>
      <c r="H37" s="7"/>
      <c r="I37" s="7"/>
      <c r="J37" s="7"/>
      <c r="K37" s="7"/>
      <c r="L37" s="7"/>
      <c r="M37" s="7"/>
      <c r="N37" s="7"/>
      <c r="O37" s="7"/>
      <c r="P37" s="7"/>
      <c r="Q37" s="7"/>
      <c r="R37" s="7"/>
      <c r="S37" s="8"/>
      <c r="T37" s="7"/>
      <c r="U37" s="7"/>
      <c r="V37" s="7"/>
      <c r="W37" s="7"/>
      <c r="X37" s="7"/>
      <c r="Y37" s="7"/>
    </row>
  </sheetData>
  <mergeCells count="2">
    <mergeCell ref="A1:R4"/>
    <mergeCell ref="U1:X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2101AC16-CB3A-48E4-994B-1A2479769581}">
  <ds:schemaRefs/>
</ds:datastoreItem>
</file>

<file path=customXml/itemProps2.xml><?xml version="1.0" encoding="utf-8"?>
<ds:datastoreItem xmlns:ds="http://schemas.openxmlformats.org/officeDocument/2006/customXml" ds:itemID="{3DF86F77-0248-46C6-8AB1-714ECCE8AA29}">
  <ds:schemaRefs/>
</ds:datastoreItem>
</file>

<file path=customXml/itemProps3.xml><?xml version="1.0" encoding="utf-8"?>
<ds:datastoreItem xmlns:ds="http://schemas.openxmlformats.org/officeDocument/2006/customXml" ds:itemID="{47CC34BC-E706-44E5-AC3C-AE1426C31730}">
  <ds:schemaRefs/>
</ds:datastoreItem>
</file>

<file path=customXml/itemProps4.xml><?xml version="1.0" encoding="utf-8"?>
<ds:datastoreItem xmlns:ds="http://schemas.openxmlformats.org/officeDocument/2006/customXml" ds:itemID="{50813C6C-E633-4009-91E0-7CD1CC88E8C2}">
  <ds:schemaRefs/>
</ds:datastoreItem>
</file>

<file path=customXml/itemProps5.xml><?xml version="1.0" encoding="utf-8"?>
<ds:datastoreItem xmlns:ds="http://schemas.openxmlformats.org/officeDocument/2006/customXml" ds:itemID="{213226FC-6A32-45F3-9D1C-30302AD0AB7D}">
  <ds:schemaRefs/>
</ds:datastoreItem>
</file>

<file path=customXml/itemProps6.xml><?xml version="1.0" encoding="utf-8"?>
<ds:datastoreItem xmlns:ds="http://schemas.openxmlformats.org/officeDocument/2006/customXml" ds:itemID="{B9869237-8F02-4D75-A577-9287E21CC4AC}">
  <ds:schemaRefs/>
</ds:datastoreItem>
</file>

<file path=customXml/itemProps7.xml><?xml version="1.0" encoding="utf-8"?>
<ds:datastoreItem xmlns:ds="http://schemas.openxmlformats.org/officeDocument/2006/customXml" ds:itemID="{9ADA80F0-7331-4868-AB2F-BC84FE8B20E8}">
  <ds:schemaRefs/>
</ds:datastoreItem>
</file>

<file path=customXml/itemProps8.xml><?xml version="1.0" encoding="utf-8"?>
<ds:datastoreItem xmlns:ds="http://schemas.openxmlformats.org/officeDocument/2006/customXml" ds:itemID="{D5AE4DA2-3C9A-4ECD-9514-92CEDC5A8DBC}">
  <ds:schemaRefs/>
</ds:datastoreItem>
</file>

<file path=customXml/itemProps9.xml><?xml version="1.0" encoding="utf-8"?>
<ds:datastoreItem xmlns:ds="http://schemas.openxmlformats.org/officeDocument/2006/customXml" ds:itemID="{CE8B4423-20D6-4616-9981-1B1911FC9539}">
  <ds:schemaRefs>
    <ds:schemaRef ds:uri="http://schemas.microsoft.com/DataMashup"/>
  </ds:schemaRefs>
</ds:datastoreItem>
</file>

<file path=customXml/itemProps10.xml><?xml version="1.0" encoding="utf-8"?>
<ds:datastoreItem xmlns:ds="http://schemas.openxmlformats.org/officeDocument/2006/customXml" ds:itemID="{CF3CDEA1-28B7-4130-A83E-E07169F7C229}">
  <ds:schemaRefs/>
</ds:datastoreItem>
</file>

<file path=customXml/itemProps11.xml><?xml version="1.0" encoding="utf-8"?>
<ds:datastoreItem xmlns:ds="http://schemas.openxmlformats.org/officeDocument/2006/customXml" ds:itemID="{9E56A591-8743-48EC-89D7-2B26A803CFD9}">
  <ds:schemaRefs/>
</ds:datastoreItem>
</file>

<file path=customXml/itemProps12.xml><?xml version="1.0" encoding="utf-8"?>
<ds:datastoreItem xmlns:ds="http://schemas.openxmlformats.org/officeDocument/2006/customXml" ds:itemID="{6154F152-B0AE-49EA-97AF-709B7A3662FE}">
  <ds:schemaRefs/>
</ds:datastoreItem>
</file>

<file path=customXml/itemProps13.xml><?xml version="1.0" encoding="utf-8"?>
<ds:datastoreItem xmlns:ds="http://schemas.openxmlformats.org/officeDocument/2006/customXml" ds:itemID="{C28A4579-E7F4-4B67-AE65-5C5DCED8841A}">
  <ds:schemaRefs/>
</ds:datastoreItem>
</file>

<file path=customXml/itemProps14.xml><?xml version="1.0" encoding="utf-8"?>
<ds:datastoreItem xmlns:ds="http://schemas.openxmlformats.org/officeDocument/2006/customXml" ds:itemID="{A2092CB0-3DF1-4DB3-AC7C-CC57D033CC14}">
  <ds:schemaRefs/>
</ds:datastoreItem>
</file>

<file path=customXml/itemProps15.xml><?xml version="1.0" encoding="utf-8"?>
<ds:datastoreItem xmlns:ds="http://schemas.openxmlformats.org/officeDocument/2006/customXml" ds:itemID="{A3A350B8-D36E-4D6D-8621-81BC04BE8F08}">
  <ds:schemaRefs/>
</ds:datastoreItem>
</file>

<file path=customXml/itemProps16.xml><?xml version="1.0" encoding="utf-8"?>
<ds:datastoreItem xmlns:ds="http://schemas.openxmlformats.org/officeDocument/2006/customXml" ds:itemID="{BA767B70-0BA3-41A8-BE75-95825F8728E9}">
  <ds:schemaRefs/>
</ds:datastoreItem>
</file>

<file path=customXml/itemProps17.xml><?xml version="1.0" encoding="utf-8"?>
<ds:datastoreItem xmlns:ds="http://schemas.openxmlformats.org/officeDocument/2006/customXml" ds:itemID="{D7D0446D-831B-4908-A63A-73B550E017FF}">
  <ds:schemaRefs/>
</ds:datastoreItem>
</file>

<file path=customXml/itemProps18.xml><?xml version="1.0" encoding="utf-8"?>
<ds:datastoreItem xmlns:ds="http://schemas.openxmlformats.org/officeDocument/2006/customXml" ds:itemID="{5B97BCE4-E49B-4481-B759-813386BA230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Category_List</vt:lpstr>
      <vt:lpstr>Payment_mode_List</vt:lpstr>
      <vt:lpstr>tblExpense</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Souptik Bej</dc:creator>
  <cp:lastModifiedBy>Souptik Bej</cp:lastModifiedBy>
  <dcterms:created xsi:type="dcterms:W3CDTF">2026-02-12T04:13:00Z</dcterms:created>
  <dcterms:modified xsi:type="dcterms:W3CDTF">2026-02-14T06:41:13Z</dcterms:modified>
</cp:coreProperties>
</file>